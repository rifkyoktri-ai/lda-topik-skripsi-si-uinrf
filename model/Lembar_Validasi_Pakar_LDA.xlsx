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Pengisian" sheetId="1" state="visible" r:id="rId1"/>
    <sheet name="Data Validasi" sheetId="2" state="visible" r:id="rId2"/>
    <sheet name="Rekap Otomati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b val="1"/>
      <color rgb="00003366"/>
      <sz val="14"/>
    </font>
    <font>
      <name val="Calibri"/>
      <b val="1"/>
      <color rgb="00003366"/>
      <sz val="12"/>
    </font>
    <font>
      <name val="Calibri"/>
      <i val="1"/>
      <color rgb="00333333"/>
      <sz val="11"/>
    </font>
    <font>
      <name val="Calibri"/>
      <sz val="11"/>
    </font>
    <font>
      <name val="Calibri"/>
      <b val="1"/>
      <sz val="11"/>
    </font>
    <font>
      <name val="Calibri"/>
      <b val="1"/>
      <sz val="10"/>
    </font>
    <font>
      <name val="Calibri"/>
      <b val="1"/>
      <color rgb="00FFFFFF"/>
      <sz val="11"/>
    </font>
    <font>
      <name val="Calibri"/>
      <sz val="10"/>
    </font>
  </fonts>
  <fills count="15">
    <fill>
      <patternFill/>
    </fill>
    <fill>
      <patternFill patternType="gray125"/>
    </fill>
    <fill>
      <patternFill patternType="solid">
        <fgColor rgb="00FFFACD"/>
        <bgColor rgb="00FFFACD"/>
      </patternFill>
    </fill>
    <fill>
      <patternFill patternType="solid">
        <fgColor rgb="00003366"/>
        <bgColor rgb="00003366"/>
      </patternFill>
    </fill>
    <fill>
      <patternFill patternType="solid">
        <fgColor rgb="00EBF3FB"/>
        <bgColor rgb="00EBF3FB"/>
      </patternFill>
    </fill>
    <fill>
      <patternFill patternType="solid">
        <fgColor rgb="00E8F4FD"/>
        <bgColor rgb="00E8F4FD"/>
      </patternFill>
    </fill>
    <fill>
      <patternFill patternType="solid">
        <fgColor rgb="00F0FFF0"/>
        <bgColor rgb="00F0FFF0"/>
      </patternFill>
    </fill>
    <fill>
      <patternFill patternType="solid">
        <fgColor rgb="00FFFFFF"/>
        <bgColor rgb="00FFFFFF"/>
      </patternFill>
    </fill>
    <fill>
      <patternFill patternType="solid">
        <fgColor rgb="00FEF9E7"/>
        <bgColor rgb="00FEF9E7"/>
      </patternFill>
    </fill>
    <fill>
      <patternFill patternType="solid">
        <fgColor rgb="00E9F7EF"/>
        <bgColor rgb="00E9F7EF"/>
      </patternFill>
    </fill>
    <fill>
      <patternFill patternType="solid">
        <fgColor rgb="00FDEDEC"/>
        <bgColor rgb="00FDEDEC"/>
      </patternFill>
    </fill>
    <fill>
      <patternFill patternType="solid">
        <fgColor rgb="00F4ECF7"/>
        <bgColor rgb="00F4ECF7"/>
      </patternFill>
    </fill>
    <fill>
      <patternFill patternType="solid">
        <fgColor rgb="00FDF2E9"/>
        <bgColor rgb="00FDF2E9"/>
      </patternFill>
    </fill>
    <fill>
      <patternFill patternType="solid">
        <fgColor rgb="00EAF2FF"/>
        <bgColor rgb="00EAF2FF"/>
      </patternFill>
    </fill>
    <fill>
      <patternFill patternType="solid">
        <fgColor rgb="00D5D8DC"/>
        <bgColor rgb="00D5D8D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pivotButton="0" quotePrefix="0" xfId="0"/>
    <xf numFmtId="0" fontId="7" fillId="3" borderId="0" applyAlignment="1" pivotButton="0" quotePrefix="0" xfId="0">
      <alignment horizontal="center" vertical="center" wrapText="1"/>
    </xf>
    <xf numFmtId="0" fontId="8" fillId="4" borderId="1" applyAlignment="1" pivotButton="0" quotePrefix="0" xfId="0">
      <alignment horizontal="center" vertical="top"/>
    </xf>
    <xf numFmtId="0" fontId="6" fillId="5" borderId="1" applyAlignment="1" pivotButton="0" quotePrefix="0" xfId="0">
      <alignment horizontal="left" vertical="top" wrapText="1"/>
    </xf>
    <xf numFmtId="0" fontId="8" fillId="4" borderId="1" applyAlignment="1" pivotButton="0" quotePrefix="0" xfId="0">
      <alignment horizontal="left" vertical="top" wrapText="1"/>
    </xf>
    <xf numFmtId="0" fontId="6" fillId="2" borderId="1" applyAlignment="1" applyProtection="1" pivotButton="0" quotePrefix="0" xfId="0">
      <alignment horizontal="center" vertical="center"/>
      <protection locked="0" hidden="0"/>
    </xf>
    <xf numFmtId="0" fontId="0" fillId="6" borderId="1" applyAlignment="1" applyProtection="1" pivotButton="0" quotePrefix="0" xfId="0">
      <alignment horizontal="left" vertical="top" wrapText="1"/>
      <protection locked="0" hidden="0"/>
    </xf>
    <xf numFmtId="0" fontId="8" fillId="7" borderId="1" applyAlignment="1" pivotButton="0" quotePrefix="0" xfId="0">
      <alignment horizontal="center" vertical="top"/>
    </xf>
    <xf numFmtId="0" fontId="8" fillId="7" borderId="1" applyAlignment="1" pivotButton="0" quotePrefix="0" xfId="0">
      <alignment horizontal="left" vertical="top"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10" borderId="1" applyAlignment="1" pivotButton="0" quotePrefix="0" xfId="0">
      <alignment horizontal="left" vertical="top" wrapText="1"/>
    </xf>
    <xf numFmtId="0" fontId="6" fillId="11" borderId="1" applyAlignment="1" pivotButton="0" quotePrefix="0" xfId="0">
      <alignment horizontal="left" vertical="top" wrapText="1"/>
    </xf>
    <xf numFmtId="0" fontId="6" fillId="12" borderId="1" applyAlignment="1" pivotButton="0" quotePrefix="0" xfId="0">
      <alignment horizontal="left" vertical="top" wrapText="1"/>
    </xf>
    <xf numFmtId="0" fontId="6" fillId="13" borderId="1" applyAlignment="1" pivotButton="0" quotePrefix="0" xfId="0">
      <alignment horizontal="left" vertical="top" wrapText="1"/>
    </xf>
    <xf numFmtId="0" fontId="6" fillId="6" borderId="1" applyAlignment="1" pivotButton="0" quotePrefix="0" xfId="0">
      <alignment horizontal="left" vertical="top" wrapText="1"/>
    </xf>
    <xf numFmtId="0" fontId="7" fillId="3" borderId="0" applyAlignment="1" pivotButton="0" quotePrefix="0" xfId="0">
      <alignment horizontal="center" vertical="center"/>
    </xf>
    <xf numFmtId="0" fontId="8" fillId="0" borderId="1" applyAlignment="1" pivotButton="0" quotePrefix="0" xfId="0">
      <alignment horizontal="center" vertical="center"/>
    </xf>
    <xf numFmtId="0" fontId="8" fillId="0" borderId="1" applyAlignment="1" pivotButton="0" quotePrefix="0" xfId="0">
      <alignment horizontal="left" vertical="center"/>
    </xf>
    <xf numFmtId="2" fontId="8" fillId="0" borderId="1" applyAlignment="1" pivotButton="0" quotePrefix="0" xfId="0">
      <alignment horizontal="right" vertical="center"/>
    </xf>
    <xf numFmtId="164" fontId="8" fillId="0" borderId="1" applyAlignment="1" pivotButton="0" quotePrefix="0" xfId="0">
      <alignment horizontal="right" vertical="center"/>
    </xf>
    <xf numFmtId="0" fontId="6" fillId="0" borderId="1" applyAlignment="1" pivotButton="0" quotePrefix="0" xfId="0">
      <alignment horizontal="center" vertical="center"/>
    </xf>
    <xf numFmtId="0" fontId="6" fillId="14" borderId="1" applyAlignment="1" pivotButton="0" quotePrefix="0" xfId="0">
      <alignment horizontal="center" vertical="center"/>
    </xf>
    <xf numFmtId="0" fontId="0" fillId="14" borderId="1" pivotButton="0" quotePrefix="0" xfId="0"/>
    <xf numFmtId="2" fontId="6" fillId="14" borderId="1" applyAlignment="1" pivotButton="0" quotePrefix="0" xfId="0">
      <alignment horizontal="right" vertical="center"/>
    </xf>
    <xf numFmtId="164" fontId="6" fillId="14" borderId="1" applyAlignment="1" pivotButton="0" quotePrefix="0" xfId="0">
      <alignment horizontal="right" vertical="center"/>
    </xf>
  </cellXfs>
  <cellStyles count="1">
    <cellStyle name="Normal" xfId="0" builtinId="0" hidden="0"/>
  </cellStyles>
  <dxfs count="5">
    <dxf>
      <font>
        <b val="1"/>
        <color rgb="00FFFFFF"/>
      </font>
      <fill>
        <patternFill patternType="solid">
          <fgColor rgb="0028B463"/>
          <bgColor rgb="0028B463"/>
        </patternFill>
      </fill>
    </dxf>
    <dxf>
      <font>
        <b val="1"/>
        <color rgb="00000000"/>
      </font>
      <fill>
        <patternFill patternType="solid">
          <fgColor rgb="0082E0AA"/>
          <bgColor rgb="0082E0AA"/>
        </patternFill>
      </fill>
    </dxf>
    <dxf>
      <font>
        <b val="1"/>
        <color rgb="00000000"/>
      </font>
      <fill>
        <patternFill patternType="solid">
          <fgColor rgb="00F9E79F"/>
          <bgColor rgb="00F9E79F"/>
        </patternFill>
      </fill>
    </dxf>
    <dxf>
      <font>
        <b val="1"/>
        <color rgb="00000000"/>
      </font>
      <fill>
        <patternFill patternType="solid">
          <fgColor rgb="00F0B27A"/>
          <bgColor rgb="00F0B27A"/>
        </patternFill>
      </fill>
    </dxf>
    <dxf>
      <font>
        <b val="1"/>
        <color rgb="00FFFFFF"/>
      </font>
      <fill>
        <patternFill patternType="solid">
          <fgColor rgb="00EC7063"/>
          <bgColor rgb="00EC706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85" customWidth="1" min="1" max="1"/>
  </cols>
  <sheetData>
    <row r="1">
      <c r="A1" s="1" t="inlineStr">
        <is>
          <t>LEMBAR VALIDASI PAKAR</t>
        </is>
      </c>
    </row>
    <row r="2">
      <c r="A2" s="2" t="inlineStr">
        <is>
          <t>Sistem Pemetaan dan Prediksi Tren Topik Penelitian Skripsi</t>
        </is>
      </c>
    </row>
    <row r="3">
      <c r="A3" s="3" t="inlineStr">
        <is>
          <t>Program Studi Sistem Informasi UIN Raden Fatah Palembang</t>
        </is>
      </c>
    </row>
    <row r="4">
      <c r="A4" s="4" t="inlineStr"/>
    </row>
    <row r="5">
      <c r="A5" s="4" t="inlineStr">
        <is>
          <t>Nama Validator  : ___________________________</t>
        </is>
      </c>
    </row>
    <row r="6">
      <c r="A6" s="4" t="inlineStr">
        <is>
          <t>Jabatan         : ___________________________</t>
        </is>
      </c>
    </row>
    <row r="7">
      <c r="A7" s="4" t="inlineStr">
        <is>
          <t>Tanggal         : ___________________________</t>
        </is>
      </c>
    </row>
    <row r="8">
      <c r="A8" s="4" t="inlineStr">
        <is>
          <t>Tanda Tangan    : ___________________________</t>
        </is>
      </c>
    </row>
    <row r="9">
      <c r="A9" s="4" t="inlineStr"/>
    </row>
    <row r="10">
      <c r="A10" s="5" t="inlineStr">
        <is>
          <t>PETUNJUK PENGISIAN:</t>
        </is>
      </c>
    </row>
    <row r="11">
      <c r="A11" s="4" t="inlineStr">
        <is>
          <t>1. Baca judul dan abstrak setiap dokumen skripsi dengan seksama</t>
        </is>
      </c>
    </row>
    <row r="12">
      <c r="A12" s="4" t="inlineStr">
        <is>
          <t>2. Nilai kesesuaian antara isi dokumen dengan label topik yang diberikan</t>
        </is>
      </c>
    </row>
    <row r="13">
      <c r="A13" s="4" t="inlineStr">
        <is>
          <t>3. Berikan skor pada kolom SKOR dengan ketentuan berikut:</t>
        </is>
      </c>
    </row>
    <row r="15">
      <c r="A15" s="6" t="inlineStr">
        <is>
          <t xml:space="preserve">   Skor 1 = Sangat Tidak Relevan</t>
        </is>
      </c>
    </row>
    <row r="16">
      <c r="A16" s="6" t="inlineStr">
        <is>
          <t xml:space="preserve">   Skor 2 = Tidak Relevan</t>
        </is>
      </c>
    </row>
    <row r="17">
      <c r="A17" s="6" t="inlineStr">
        <is>
          <t xml:space="preserve">   Skor 3 = Cukup Relevan</t>
        </is>
      </c>
    </row>
    <row r="18">
      <c r="A18" s="6" t="inlineStr">
        <is>
          <t xml:space="preserve">   Skor 4 = Relevan</t>
        </is>
      </c>
    </row>
    <row r="19">
      <c r="A19" s="6" t="inlineStr">
        <is>
          <t xml:space="preserve">   Skor 5 = Sangat Relevan</t>
        </is>
      </c>
    </row>
    <row r="21">
      <c r="A21" s="4" t="inlineStr">
        <is>
          <t>4. Isi kolom CATATAN jika ada komentar tambahan (opsional)</t>
        </is>
      </c>
    </row>
    <row r="22">
      <c r="A22" s="4" t="inlineStr">
        <is>
          <t>5. Setelah selesai, simpan file dan kembalikan kepada peneliti</t>
        </is>
      </c>
    </row>
  </sheetData>
  <sheetProtection selectLockedCells="0" selectUnlockedCells="0" sheet="1" objects="0" insertRows="1" insertHyperlinks="1" autoFilter="1" scenarios="0" formatColumns="1" deleteColumns="1" insertColumns="1" pivotTables="1" deleteRows="1" formatCells="1" formatRows="1" sort="1" password="DA9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zoomScale="90" workbookViewId="0">
      <pane ySplit="1" topLeftCell="A2" activePane="bottomLeft" state="frozen"/>
      <selection pane="bottomLeft" activeCell="A1" sqref="A1"/>
    </sheetView>
  </sheetViews>
  <sheetFormatPr baseColWidth="8" defaultRowHeight="15"/>
  <cols>
    <col width="6" customWidth="1" min="1" max="1"/>
    <col width="38" customWidth="1" min="2" max="2"/>
    <col width="52" customWidth="1" min="3" max="3"/>
    <col width="82" customWidth="1" min="4" max="4"/>
    <col width="16" customWidth="1" min="5" max="5"/>
    <col width="42" customWidth="1" min="6" max="6"/>
  </cols>
  <sheetData>
    <row r="1" ht="30" customHeight="1">
      <c r="A1" s="7" t="inlineStr">
        <is>
          <t>NO</t>
        </is>
      </c>
      <c r="B1" s="7" t="inlineStr">
        <is>
          <t>TOPIK</t>
        </is>
      </c>
      <c r="C1" s="7" t="inlineStr">
        <is>
          <t>JUDUL SKRIPSI</t>
        </is>
      </c>
      <c r="D1" s="7" t="inlineStr">
        <is>
          <t>ABSTRAK</t>
        </is>
      </c>
      <c r="E1" s="7" t="inlineStr">
        <is>
          <t>SKOR (1-5)</t>
        </is>
      </c>
      <c r="F1" s="7" t="inlineStr">
        <is>
          <t>CATATAN</t>
        </is>
      </c>
    </row>
    <row r="2" ht="95" customHeight="1">
      <c r="A2" s="8" t="n">
        <v>1</v>
      </c>
      <c r="B2" s="9" t="inlineStr">
        <is>
          <t>Evaluasi Usability Sistem Informasi</t>
        </is>
      </c>
      <c r="C2" s="10" t="inlineStr">
        <is>
          <t>ANALISIS SENTIMEN ULASAN APLIKASI ANDAL BY TASPEN MENGGUNAKAN SUPPORT VECTOR MACHINE (SVM).</t>
        </is>
      </c>
      <c r="D2" s="10" t="inlineStr">
        <is>
          <t>Perkembangan teknologi di era digital mendorong berbagai instansi untuk menyediakan layanan berbasis aplikasi guna meningkatkan kemudahan dan kenyamanan pengguna. PT Taspen (Persero) turut merespons kebutuhan tersebut dengan merilis aplikasi Andal by Taspen pada 2 Januari 2025 sebagai platform digital terpadu untuk layanan pensiun dan jaminan sosial. Keberhasilan aplikasi ini tidak hanya ditentukan oleh kelengkapan fitur, tetapi juga salah satunya oleh sentimen pengguna terhadap pengalaman mereka dalam menggunakannya. Penelitian ini bertujuan untuk menganalisis sentimen pengguna terhadap aplikasi Andal by Taspen dengan menerapkan metode Support Vector Machine (SVM) dalam mengklasifikasikan ulasan dari Google Play Store, App Store, dan komentar di Instagram ke dalam kategori positif, negatif, dan netral. Data diproses melalui tahapan scraping, preprocessing, pembobotan Term Frequency–Inverse Document Frequency (TF-IDF). Model dievaluasi menggunakan K-Fold Cross-Validation dan Synthetic Minority Oversampling Technique (SMOTE) untuk mengatasi ketidakseimbangan kelas. Hasil menunjukkan akurasi rata-rata 91,91%, macro average precision 0,8801, recall 0,7556, dan F1-score 0,7962. Performa terbaik diperoleh pada sentimen positif dan negatif, sementara sentimen netral masih rendah. Pemodelan topik dengan Latent Dirichlet Allocation (LDA) mengidentifikasi dua topik utama, yaitu layanan pensiun yang dominan positif dan permasalahan teknis aplikasi yang dominan negatif. Penelitian ini juga menghasilkan sistem analisis sentimen berbasis web yang menampilkan klasifikasi sentimen, pemodelan topik, dan visualisasi kata secara otomatis.</t>
        </is>
      </c>
      <c r="E2" s="11" t="n"/>
      <c r="F2" s="12" t="n"/>
    </row>
    <row r="3" ht="95" customHeight="1">
      <c r="A3" s="13" t="n">
        <v>2</v>
      </c>
      <c r="B3" s="9" t="inlineStr">
        <is>
          <t>Evaluasi Usability Sistem Informasi</t>
        </is>
      </c>
      <c r="C3" s="14" t="inlineStr">
        <is>
          <t>SISTEM INFORMASI PEMESANAN WEDDING\r\nORGANIZER BERBASIS WEB PADA SALON BUNDA\r\nFITRY.</t>
        </is>
      </c>
      <c r="D3" s="14" t="inlineStr">
        <is>
          <t>Wedding Organizer Salon Bunda Fitry adalah sebuah jasa yang berfungsi khusus untuk melayani calon pengantin dan keluarga dalam perencanaan sampai pelaksanaan rangkaian acara pesta pernikahan. Sistem yang sedang berjalan di wedding organizer salon bunda fitry ini masih menggunakan sistem manual yaitu proses data pemesanan dan informasi paket masih menggunakan pembukuan sehingga masih sering mengalami masalah pada data pemesanan dan harga paket pernikahan. Setelah mengetahui permasalahan yang ada, maka dirancang sebuah sistem informasi pemesanan wedding organizer pada salon bunda fitry menggunakan metode pengembangan waterfall yang terdiri dari analisa, desain, pengodean, pengujian dan dan tahap pendukung, kemudian di implementasikan dengan bahasa pemrograman PHP dan MySQL sebagai database-nya. Tujuan dari penelitian ini adalah untuk memberikan kemudahan kepada karyawan wedding organizer dalam memproses data pemesanan dan harga serta memperluas area promosi penjualan paket pernikahan secara terkomputerisasi. Hasil dari penelitian ini adalah sebuah sistem informasi pemesanan wedding organizer yang dapat membantu pihak wedding organizer dan pengguna dalam memperoleh informasi secara cepat dan jelas, serta membantu operasional wedding organizer agar berjalan dengan lebih efektif dan efisien.</t>
        </is>
      </c>
      <c r="E3" s="11" t="n"/>
      <c r="F3" s="12" t="n"/>
    </row>
    <row r="4" ht="95" customHeight="1">
      <c r="A4" s="8" t="n">
        <v>3</v>
      </c>
      <c r="B4" s="9" t="inlineStr">
        <is>
          <t>Evaluasi Usability Sistem Informasi</t>
        </is>
      </c>
      <c r="C4" s="10" t="inlineStr">
        <is>
          <t>Analisis Faktor-Faktor Yang Mempengaruhi Niat Continuitas Pengguna Aplikasi Maxim Menggunakan Expectation Confirmation Model (ECM) Di Kota Kayu Agung.</t>
        </is>
      </c>
      <c r="D4" s="10" t="inlineStr">
        <is>
          <t>Niat keberlanjutan pengguna aplikasi Maxim menjadi faktor yang mendukung berkembangnya perusahaan penyedia layanan. Tujuan dari penelitian ini untuk mengetahui faktor-faktor yang mempengaruhi niat keberlanjutan pengguna aplikasi Maxim di Kota Kayuagung. Dalam penelitian ini, ECM digunakan sebagai model untuk menganalisis faktor-faktor yang mempengaruhi niat keberlanjutan pengguna dan kemudian melihat hasil dari hubungan antar variabel. Dengan jumlah populasi pengguna sebanyak 2403 pengguna sampel sebanyak 96 pengguna. Hasil penelitian ini terdapat 2 hipotesis diterima dan 1 hipotesis yang di tolak. Hipotesis yang diterima yaitu Variabel Confirmation memiliki pengaruh dan signifikan terhadap variabel Continuance Intention dan Variabel Satisfaction memiliki pengaruh dan signifikan terhadap variabel Continuance Intention. Hipotesis yang di tolak adalah variabel Perceived Usefulness yang tidak memiliki pengaruh serta tidak signifikan terhadap variabel Continuance Intention.    Kata Kunci : Expected Confirmation Model, Maxim, Transportasi Online, Niat Kontinuitas.</t>
        </is>
      </c>
      <c r="E4" s="11" t="n"/>
      <c r="F4" s="12" t="n"/>
    </row>
    <row r="5" ht="95" customHeight="1">
      <c r="A5" s="13" t="n">
        <v>4</v>
      </c>
      <c r="B5" s="9" t="inlineStr">
        <is>
          <t>Evaluasi Usability Sistem Informasi</t>
        </is>
      </c>
      <c r="C5" s="14" t="inlineStr">
        <is>
          <t>Sistem Informasi Monitoring Ecogreen Campus Menggunakan Metode Rapid Application Development (RAD).</t>
        </is>
      </c>
      <c r="D5" s="14" t="inlineStr">
        <is>
          <t>Ecogreen Campus adalah program dari UIGreenMetric yang diikuti oleh setiap universitas di seluruh dunia. Program ini berguna dalam implementasi kelestarian lingkungan secara efisien dan hemat energi. Kegiatan penelitian, pendidikan, dan pengabdian masyarakat di Kampus UIN Raden Fatah Palembang menerapkan nilai islami, teknologi, ilmu pengetahuan dan sumber daya alam yang berkualitas. \r\nTujuan adanya Ecogreen Campus yaitu meningkatkan kesadaran mahasiswa dan civitas akademika dalam menjaga lingkungannya, serta menjadi nilai tambah Ecogreen Campus pada peringkat UIGreenMetric dan akreditasi. Untuk membantu hal tersebut, dibutuhkan sistem informasi monitoring yang tujuannya untuk mendapatkan informasi dari kegiatan Ecogreen Campus yang berbasis spasial, andal, terkini, dan terpercaya secara transparan. Pengembangan sistem informasi monitoring Ecogreen Campus menampilkan berbagai kegiatan seperti penanaman (SI), pemeliharaan dan penggunaan energi listrik (EC), pengolahan sampah (WS).\r\nLeafletJS digunakan pada penelitian ini sebagai library javascript yang akan menampilkan peta lokasi pada kegiatan penanaman, sedangkan laravel digunakan sebagai platfrom PHP. Metode pengembangan sistem yang digunakan adalah Rapid Application Development (RAD) yang terdiri dari 3 tahapan yaitu Requiment Planning, Workshop Design, dan Implementation. Hasil yang didapatkan adalah Sistem Informasi Monitoring yang terdiri dari informasi penanaman, penggunaan energi, dan pengolahan sampah dapat berguna bagi Ecogreen Campus dalam proses akreditasi dan pemeringkatan UIGreenMetric</t>
        </is>
      </c>
      <c r="E5" s="11" t="n"/>
      <c r="F5" s="12" t="n"/>
    </row>
    <row r="6" ht="95" customHeight="1">
      <c r="A6" s="8" t="n">
        <v>5</v>
      </c>
      <c r="B6" s="9" t="inlineStr">
        <is>
          <t>Evaluasi Usability Sistem Informasi</t>
        </is>
      </c>
      <c r="C6" s="10" t="inlineStr">
        <is>
          <t>PENERAPAN TECHNOLOGY READINESS ACCEPTANCE MODEL (TRAM) UNTUK PENGUKURAN KESIAPAN DAN PENERIMAAN APLIKASI RF MOBILE.</t>
        </is>
      </c>
      <c r="D6" s="10" t="inlineStr">
        <is>
          <t>Teknologi Informasi pada dunia pendidikan saat ini sangat berpengaruh untuk memudahkan kegiatan belajar mengajar. Seperti pada UIN Raden Fatah Palembang telah menerapkan Sistem informasi salah satunya aplikasi RF Mobile. RF Mobile merupakan layanan akademik bagi mahasiswa, yang merupakan sistem baru di UIN Raden Fatah. Pada RF Mobile ditemukan beberapa permasalahan seperti kegunaa, interface, bagian profile yang masih belum rapi, dan beberapa fitur yang diakses sulit dicari. Berdasarkan permasalahan tersebut maka diperlukan pengukuran untuk mengetahui kesiapan dan penerimaan pengguna terhadap RF Mobile. Kesiapan dan penerimaan pengguna RF Mobile perlu diketahui karena langkah pertama yang harus dilakukan dalam implementasi teknologi adalah mengetahui kesiapan pengguna dalam menerima teknologi tersebut. Penelitian ini menggunakan Technology Readiness Acceptance model (TRAM). 7 variabel TRAM yaitu Optimisme, innovatieness, insecurity, discomfort, perceived ease of use, Perceived usefulness, intention to use. Penelitian ini menyebarkan kuesioner kepada 364 responden pengguna RF Mobile. Teknik analisis data  yang digunakan yaitu SEM-PLS dengan software  SmartPLS 3.0. Hasil penelitian ini dari 10 hipotesis terdapat 7 hipotesis diterima dan 3 ditolak. Hasil keseluruhan menunjukkan kesiapan dan penerimaan RF Mobile menggunakan TRAM sebesar 74,2%, hal ini menunjukkan bahwa kesiapan dan penerimaan aplikasi RF Mobile sudah dapat digunakan dan diterima oleh pengguna.</t>
        </is>
      </c>
      <c r="E6" s="11" t="n"/>
      <c r="F6" s="12" t="n"/>
    </row>
    <row r="7" ht="95" customHeight="1">
      <c r="A7" s="13" t="n">
        <v>6</v>
      </c>
      <c r="B7" s="15" t="inlineStr">
        <is>
          <t>Evaluasi Kualitas Layanan (ServQual)</t>
        </is>
      </c>
      <c r="C7" s="14" t="inlineStr">
        <is>
          <t>SISTEM PENDUKUNG KEPUTUSAN AGEN TERBAIK DI PERUSAHAAN ASURANSI JIWA BERSAMA BUMIPUTERA 1912 CABANG KAYUAGUNG MENGUNAKAN METODE SMART (SIMPLE MULTI ATTRIBUTE RATING TECHNIQUE).</t>
        </is>
      </c>
      <c r="D7" s="14" t="inlineStr">
        <is>
          <t>Penilaian agen terbaik di Perusahaan Asuransi Jiwa Bersama Bumiputera 1912 Cabang Kayuagung saat ini belum memiliki aplikasi dan metode khusus penilaian, serta penilaian masih subjektif. Perusahaan saat ini membutuhkan sistem pendukung keputusan (SPK) yang dapat membantu dalam menentukan agen terbaik. Maka dari itu penelitian ini bertujuan untuk membangun SPK yang efektif dan objektif. SPK yang dibangun menggunakan empat kriteria yaitu (polis, premi reguler, premi tunggal, dan konservasi), dengan tujuh agen sebagai sampel. Untuk membangun SPK ini digunakan metode Simple Multi Attribute Rating Technique (SMART), karena metode ini memberikan pemahaman masalah yang tinggi dan dapat diterima oleh pembuat keputusan. Berdasarkan pengujian, SPK yang dibangun dapat memberikan rekomendasi agen terbaik sesuai dengan perhitungan SPK dan sesuai dengan keinginan dari kepala urusan administrasi dan keuangan, SPK ini dapat menentukan agen terbaik secara efektif dan objektif dalam penilaian agen terbaik.</t>
        </is>
      </c>
      <c r="E7" s="11" t="n"/>
      <c r="F7" s="12" t="n"/>
    </row>
    <row r="8" ht="95" customHeight="1">
      <c r="A8" s="8" t="n">
        <v>7</v>
      </c>
      <c r="B8" s="15" t="inlineStr">
        <is>
          <t>Evaluasi Kualitas Layanan (ServQual)</t>
        </is>
      </c>
      <c r="C8" s="10" t="inlineStr">
        <is>
          <t>PENERAPAN METODE RUP PADA SISTEM INFORMASI POINT OF SALE\r\nBERBASIS WEB di TOKO PELANGI SUNGAI LILIN.</t>
        </is>
      </c>
      <c r="D8" s="10" t="inlineStr">
        <is>
          <t>The purpose of this research is to build a web-based point of sale information system\r\nthat can help at Pelangi Sungai Lilin shops. Buying and selling activities that are still\r\nmanual and very simple and are considered less effective, therefore we need an\r\ninformation system that makes a buying and selling transaction that issafe and effective\r\nand makes it easier for the store to control good and efficient data management. Making\r\na web-based point of sale program is useful forshop owners in order to minimize errors\r\nin every purchase activity as well as the right stock information. In making this system\r\nusing the (RUP) method so that in building this program it starts from 4 phases or\r\nstages, namely inception, elaboration, construction and transition. In the end, a webbased point of sale information system was created at the Pelangi Sungai lilin shop.\r\nKeywords: Point Of Sale, RUP, information system, Inception, Elaboration,\r\nContruktion Dan Transition</t>
        </is>
      </c>
      <c r="E8" s="11" t="n"/>
      <c r="F8" s="12" t="n"/>
    </row>
    <row r="9" ht="95" customHeight="1">
      <c r="A9" s="13" t="n">
        <v>8</v>
      </c>
      <c r="B9" s="15" t="inlineStr">
        <is>
          <t>Evaluasi Kualitas Layanan (ServQual)</t>
        </is>
      </c>
      <c r="C9" s="14" t="inlineStr">
        <is>
          <t>SISTEM INFORMASI MANAJEMEN KEPEGAWAIAN PADA LEMBAGA PENDIDIKAN TERPADU NURUL ILMI BANYUASIN MENGGUNAKAN METODE EXTREME PROGRAMMING.</t>
        </is>
      </c>
      <c r="D9" s="14" t="inlineStr">
        <is>
          <t>Lembaga Pendidikan Terpadu Nurul Ilmi Banyuasin adalah lembaga pendidikan tinggi terpadu formal yang terletak di Desa Sukamoro, Kabupaten Banyuasin, Palembang, Sumatera Selatan. Pengelolaan data kepegawaian pada Lembaga Pendidikan Terpadu Nurul Ilmi Banyuasin masih mengandalkan proses administrasi secara manual dengan penggunaan data fisik berbentuk media kertas serta penyimpanan dalam map ordner di lemari. Dalam konteks ini, pengembangan sistem informasi untuk pengelolaan data kepegawaian menjadi sangat penting. Penelitian ini bertujuan untuk membangun Sistem Informasi Manajemen Kepegawaian agar dapat mempermudah bagian kepegawaian dalam melakukan proses pencarian, penyimpanan, perubahan serta pengelolaan data seperti data pegawai, data absensi, data sertifikat/penghargaan, data cuti, data kinerja pegawai serta data rekrutmen pegawai baru. Sistem ini menerapkan metode pengembangan sistem yaitu Extreme Programming, Dimana dalam penerapannya memberikan solusi yang efektif dan efisien. Selain itu, sistem ini dapat membantu dalam menyajikan laporan kepegawaian dengan menghasilakan informasi yang lebih lengkap dalam bentuk pdf dan excel. Hasil dari penelitian ini yaitu Sistem Informasi Manajemen Kepegawaian yang menyediakan informasi relevan mengenai manajemen pegawai, data absensi, data pengajuan cuti, data sertifikat/penghargaan, penilaian kinerja, kinerja harian pegawai dan data rekrutmen pegawai baru. Dengan demikian, sistem ini dapat memainkan peran krusial dalam meningkatkan kualitas secara signifikan serta efektivitas pengelolaan kepegawaian di lembaga pendidikan terpadu.</t>
        </is>
      </c>
      <c r="E9" s="11" t="n"/>
      <c r="F9" s="12" t="n"/>
    </row>
    <row r="10" ht="95" customHeight="1">
      <c r="A10" s="8" t="n">
        <v>9</v>
      </c>
      <c r="B10" s="15" t="inlineStr">
        <is>
          <t>Evaluasi Kualitas Layanan (ServQual)</t>
        </is>
      </c>
      <c r="C10" s="10" t="inlineStr">
        <is>
          <t>ANALISIS USER EXPERIENCE WEBSITE SILAYAK UIN RADEN FATAH PALEMBANG MENGGUNAKAN USER EXPERIENCE QUESTIONNAIRE (UEQ).</t>
        </is>
      </c>
      <c r="D10" s="10" t="inlineStr">
        <is>
          <t>Silayak merupakan sebuah platform layanan akademik berbasis sistem informasi yang di terapkan pada Universitas Islam Negeri Raden Fatah Palembang untuk mengelola data akademik mahasiswa, dosen, dan program studi. Dan menyediakan fitur layanan informasi serta menampilkan data-data terkait daftar pengajuan layanan contohnya surat pendaftaran mengikuti ujian proposal dan lainnya. Penelitian ini bertujuan untuk mengevaluasi pengalaman pengguna terhadap website Silayak Universitas Islam Negeri Raden Fatah Palembang menggunakan metode User Experience Questionnaire (UEQ). Data dikumpulkan dari 386 mahasiswa melalui kuesioner dengan skala Likert 7 poin dan dianalisis menggunakan transformasi skor dari -3 sampai +3. Hasil menunjukkan bahwa sebagian besar aspek seperti daya tarik, kejelasan, efisiensi, dan kebaruan mendapatkan penilaian positif dan berada di kategori &amp;quot;Above Average&amp;quot;. Temuan ini memberikan rekomendasi untuk peningkatan tampilan visual, navigasi, dan fitur guna meningkatkan kualitas pengalaman pengguna secara keseluruhan.</t>
        </is>
      </c>
      <c r="E10" s="11" t="n"/>
      <c r="F10" s="12" t="n"/>
    </row>
    <row r="11" ht="95" customHeight="1">
      <c r="A11" s="13" t="n">
        <v>10</v>
      </c>
      <c r="B11" s="15" t="inlineStr">
        <is>
          <t>Evaluasi Kualitas Layanan (ServQual)</t>
        </is>
      </c>
      <c r="C11" s="14" t="inlineStr">
        <is>
          <t>ANALISIS KUALITAS WEBSITE SEKOLAH ISLAM TERPADU HARAPAN MULIA PALEMBANG MENGGUNAKAN\r\nMETODE WEBQUAL 4.0.</t>
        </is>
      </c>
      <c r="D11" s="14" t="inlineStr">
        <is>
          <t>Teknologi informasi terbukti membuat sarana penyebaran informasi yang paling efektif dan efisien kepada masyarakat. Website Sekolah Islam Terpadu Harapan Mulia Palembang dirancang dengan maksud mengorganisir data akademik. Pemakai dari website tersebut adalah siswa, guru, dan admin sekolah. Permasalahan yang dihadapi pengguna terkait dengan sistem, yakni pada bagian interface, profil yang belum berfungsi semua, fitur beberapa menu harus akses lagi ke website, foto profil masih kartun, dan beberapa fitur hanya sekedar informasi. Tujuan penelitian ini untuk mengetahui kualitas website Sekolah Islam Terpadu Harapan Mulia Palembang ditinjau dari Usability Quality, Information Quality, dan Service Interaction Quality. Pelaksanaan metode pengumpulan data dengan observasi, wawancara, kuesioner, dan studi pustaka selanjutnya analisis data dengan metode Webqual 4.0. Hasil yang didapat ialah nilai persentase tiap-tiap variabel Usability Quality (X1) 81,66% responden memuaskan, variabel Information Quality (X2) 83,66% responden memuaskan, dan variabel Service Interaction Quality (X3) 82,08% responden memuaskan. Serta memperoleh nilai persentase dari bobot rata-rata item pengukuran 82,48% responden memuaskan.</t>
        </is>
      </c>
      <c r="E11" s="11" t="n"/>
      <c r="F11" s="12" t="n"/>
    </row>
    <row r="12" ht="95" customHeight="1">
      <c r="A12" s="8" t="n">
        <v>11</v>
      </c>
      <c r="B12" s="16" t="inlineStr">
        <is>
          <t>Pengembangan Perangkat Lunak (SDLC/XP)</t>
        </is>
      </c>
      <c r="C12" s="10" t="inlineStr">
        <is>
          <t>SISTEM INFORMASI MANAJEMEN ATLET KONI KABUPATEN OGAN KOMERING ULU MENGGUNAKAN METODE EXTREME PROGRAMMING.</t>
        </is>
      </c>
      <c r="D12" s="10" t="inlineStr">
        <is>
          <t>Sistem manajemen atlet di KONI Kabupaten OKU saat ini masih dilakukan secara manual menggunakan formulir tertulis dan laporan yang diketik dengan Microsoft Word. Proses pendaftaran atlet dan perekrutan juga mengharuskan atlet menyerahkan dokumen fisik secara langsung ke cabang olahraga, sehingga sering terjadi risiko kehilangan data dan kurangnya dokumentasi yang rapi. Selain itu, pengelolaan training center serta pencatatan prestasi atlet juga dilakukan secara manual, menyebabkan keterlambatan dalam pemantauan dan evaluasi kinerja atlet. Untuk mengatasi keterbatasan ini, penelitian ini bertujuan untuk membangun Sistem Informasi Manajemen Atlet KONI Kabupaten OKU menggunakan metode extreme programming (XP). Metode XP dipilih karena dapat mempercepat pengembangan dan meningkatkan interaksi antara pengguna dan pengembang melalui tahapan perencanaan, desain, pengkodean, dan pengujian. Hasil penelitian menunjukkan bahwa sistem ini mempermudah pengelolaan data atlet, cabang olahraga, pelatih, serta proses pendaftaran, pelatihan, dan pencatatan prestasi, sekaligus mempercepat laporan dan meningkatkan keandalan pengelolaan manajemen atlet. Sistem ini menghasilkan proses administrasi yang lebih cepat, akurat, dan andal, serta memenuhi kebutuhan pengurus KONI, cabang olahraga, pelatih, dan atlet.\r\n\r\nKata Kunci: Sistem Informasi Manajemen, Extreme Programming, KONI</t>
        </is>
      </c>
      <c r="E12" s="11" t="n"/>
      <c r="F12" s="12" t="n"/>
    </row>
    <row r="13" ht="95" customHeight="1">
      <c r="A13" s="13" t="n">
        <v>12</v>
      </c>
      <c r="B13" s="16" t="inlineStr">
        <is>
          <t>Pengembangan Perangkat Lunak (SDLC/XP)</t>
        </is>
      </c>
      <c r="C13" s="14" t="inlineStr">
        <is>
          <t>Analisis Kepuasan Pengguna Sistem Informasi Manajemen Daerah (SIMDA) Menggunakan Metode Kano dan Eucs di BPKAD Provinsi Sumatera Selatan.</t>
        </is>
      </c>
      <c r="D13" s="14" t="inlineStr">
        <is>
          <t>Abstrak – BPKAD (Badan Pengelola Keuangan dan Aset Daerah) Provinsi Sumatera Selatan merupakan perangkat daerah yang melaksanakan fungsi urusan penunjang pemerintahan daerah dalam hal pengelolaan keuangan dan aset   daerah. Simda merupakan program aplikasi yang dapat membantu pemerintah dalam pengolahan data yang lebih mudah, akurat, serta efisien Tujuan penelitian ini adalah untuk mengukur kepuasan pengguna pada aplikasi SIMDA BPKAD dengan menggunakan metode KANO dan EUCS. Pengumpulan data dilakukan dengan penyebaran kuisioner kepada organisasi perangkat daerah dan di lakukan wawancara dengan organisasi perangkat daerah BPKAD. Data penelitian ini diperoleh dengan kuesioner yang dikumpulkan dari responden dengan jumlah 111 orang. Hasil dari penelitian ini menyatakan bahwa dari 6 kategori yang ada di metode Kano hanya ada 3 kategori yang muncul yaitu Must be, One Dimensional dan Attractive. Atribut yang paling berpengaru terhadap peningkatan kepuasan dan ketidakpuasan pengguna dapat diketahui dari hasil analisa nilai Better dan Worse. Nilai kepuasan tertinggi yaitu di atribut F1, Desain tampilan system informasi manajemen daerah memiliki pengaturan warna yang baik. Nilai ketidakpuasan tertinggi yaitu pada atribut A1, Sistem informasi manajemen daerah menyediakan informasi yang akurat sesuai dengan keinginan pengguna.\r\nKata kunci :  BPKAD, SIMDA, KANO, Analisis Kepuasan</t>
        </is>
      </c>
      <c r="E13" s="11" t="n"/>
      <c r="F13" s="12" t="n"/>
    </row>
    <row r="14" ht="95" customHeight="1">
      <c r="A14" s="8" t="n">
        <v>13</v>
      </c>
      <c r="B14" s="16" t="inlineStr">
        <is>
          <t>Pengembangan Perangkat Lunak (SDLC/XP)</t>
        </is>
      </c>
      <c r="C14" s="10" t="inlineStr">
        <is>
          <t>ANALISIS USABILITY PORTAL WEB DISKOMINFO KOTA PRABUMULIH MENGGUNAKAN NIELSEN MODEL.</t>
        </is>
      </c>
      <c r="D14" s="10" t="inlineStr">
        <is>
          <t>The Prabumulih City Communication and Informatics Service (DISKOMINFO) has utilized internet technology through websites as one of the main information channels to the public. However, there are various challenges faced, including usability problems which affect the effectiveness of information dissemination. The \r\nPrabumulih City DISKOMINFO website still has several problems with \r\ninformation that is not always updated so that users do not find the latest information they are looking for and there is no visitor statistics column. This column functions to see whether many people are using the Diskominfo website or not. This research uses five Usability variables according to the Nielsen model, namely learnability, efficiency, memorability, errors, and satisfaction. Data processing uses percentage calculations and uses SPSS and Microsoft Excel tools. \r\nThe results of the research show that of usability, the Prabumulih City diskominfo website is classified as very good with a total score of 4.20 with an interval score of very good or very high.</t>
        </is>
      </c>
      <c r="E14" s="11" t="n"/>
      <c r="F14" s="12" t="n"/>
    </row>
    <row r="15" ht="95" customHeight="1">
      <c r="A15" s="13" t="n">
        <v>14</v>
      </c>
      <c r="B15" s="16" t="inlineStr">
        <is>
          <t>Pengembangan Perangkat Lunak (SDLC/XP)</t>
        </is>
      </c>
      <c r="C15" s="14" t="inlineStr">
        <is>
          <t>Analisis Kualitas Layanan Aplikasi CARE WMS Dengan Model E-S-Qual Pada Eiger Store Cabang Sumatera 1.</t>
        </is>
      </c>
      <c r="D15" s="14" t="inlineStr">
        <is>
          <t>Aplikasi CARE WMS masih mengalami masalah yang terjadi yaitu, adanya indikasi bahwa kualitas layanan yang diberikan oleh aplikasi tersebut belum sepenuhnya memenuhi harapan pengguna. Pengguna merasa bahwa kinerja aplikasi masih kurang optimal, Ketersediaan sistem yang rendah sering menghambat akses pengguna. Hal ini menyebabkan pengguna tidak dapat mengakses sistem secara efektif dan menghambat proses operasional. Berdasarkan permasalahan terjadi, peneliti melakukan analisis kualitas layanan CARE WMS dengan menggunakan metode integrasi Electronic Service Quality dan Importance Performance Analysis. Adapun empat variabel yang mengukur nilai persepsi dan harapan layanan. Tujuannya adalah untuk mencari tingkat kualitas layanan yang mempengaruhi kualitas pelayanan CARE WMS di cabang Sumatera 1. Hasil perhitungan nilai kualitas layanan persepsi dan harapan berdasarkan skala kualitas layanan, bisa disimpulkan bahwa yang memiliki tingkat kesesuaian terendah adalah variabel system availability dengan tingkat kesesuaian sebesar 84,498%, variabel kedua adalah efficiency sebesar 88,752%, variabel ketiga adalah fulfillment sebesar 91,518%, dan variabel terakhir privacy sebesar 94,870%. Berdasarkan penelitian menunjukan bahwa layanan yang diterima pengguna CARE WMS belum memenuhi harapan yang diinginkan sehingga perlu peningkatan kualitas layanan agar dapat diterima pengguna CARE WMS.</t>
        </is>
      </c>
      <c r="E15" s="11" t="n"/>
      <c r="F15" s="12" t="n"/>
    </row>
    <row r="16" ht="95" customHeight="1">
      <c r="A16" s="8" t="n">
        <v>15</v>
      </c>
      <c r="B16" s="16" t="inlineStr">
        <is>
          <t>Pengembangan Perangkat Lunak (SDLC/XP)</t>
        </is>
      </c>
      <c r="C16" s="10" t="inlineStr">
        <is>
          <t>Penentuan Klasifikasi Lokasi Penjualan Strategis Umkm di Kota Palembang menggunakan Algoritma Random Forest.</t>
        </is>
      </c>
      <c r="D16" s="10" t="inlineStr">
        <is>
          <t>Usaha Mikro, Kecil, dan Menengah (UMKM) merupakan penggerak utama perekonomian lokal dan nasional. Salah satu kunci keberhasilan UMKM terletak pada pemilihan lokasi usaha yang strategis. Dalam konteks Kota Palembang yang mengalami pertumbuhan ekonomi dan urbanisasi yang pesat, pemilihan lokasi tidak dapat lagi hanya mengandalkan intuisi pelaku usaha. Penelitian ini bertujuan untuk mengembangkan model klasifikasi yang dapat membantu menentukan lokasi penjualan strategis UMKM berbasis data menggunakan algoritma Random Forest, salah satu metode machine learning yang terbukti efektif dalam analisis data kompleks dan klasifikasi. Model dibangun dengan menggunakan data primer hasil wawancara pelaku UMKM dan data sekunder dari Badan Pusat Statistik (BPS), yang mencakup variabel aksesibilitas, kepadatan penduduk, volume keramaian, dan infrastruktur pendukung. Proses pengolahan data mengikuti tahapan CRISP-DM yang terdiri dari pemahaman bisnis, eksplorasi dan persiapan data, pemodelan, evaluasi, dan deployment. Hasil penelitian menunjukkan bahwa model Random Forest menghasilkan tingkat akurasi sebesar 85%, dengan nilai precision 0,83, recall 0,86, dan F1-score 0,84. Faktor kepadatan penduduk dan aksesibilitas terbukti menjadi fitur paling dominan dalam menentukan lokasi strategis, dengan kontribusi masing-masing sebesar 38% dan 27% terhadap klasifikasi model. Visualisasi heatmap memperlihatkan bahwa kawasan Kambang Iwak, Bukit Kecil, dan Jakabaring merupakan wilayah dengan tingkat strategi tertinggi, sedangkan daerah pinggiran seperti Gandus dan Sako tergolong tidak strategis. Pembahasan menunjukkan bahwa lokasi dengan kepadatan penduduk tinggi, akses jalan utama yang baik, serta dukungan infrastruktur yang memadai memiliki peluang lebih besar terhadap keberlanjutan usaha. Hasil ini menegaskan pentingnya pendekatan berbasis data dalam menentukan lokasi usaha yang tepat bagi UMKM di Kota Palembang. Saran bagi pelaku UMKM di Kota Palembang adalah agar lebih memanfaatkan data spasial dan statistik dari sumber resmi seperti BPS dalam menentukan lokasi usaha, serta mempertimbangkan faktor aksesibilitas dan kepadatan penduduk sebagai acuan utama sebelum membuka atau memindahkan tempat usaha. Pemerintah daerah juga diharapkan dapat menyediakan sistem informasi lokasi usaha yang terintegrasi dengan data kependudukan dan infrastruktur, guna membantu UMKM dalam mengambil keputusan strategis berbasis data yang akurat dan berkelanjutan.</t>
        </is>
      </c>
      <c r="E16" s="11" t="n"/>
      <c r="F16" s="12" t="n"/>
    </row>
    <row r="17" ht="95" customHeight="1">
      <c r="A17" s="13" t="n">
        <v>16</v>
      </c>
      <c r="B17" s="17" t="inlineStr">
        <is>
          <t>Keamanan Sistem &amp; Pengelolaan Arsip</t>
        </is>
      </c>
      <c r="C17" s="14" t="inlineStr">
        <is>
          <t>PEMANFAATAN FRAMEWORK ANITA CASSIDY DALAM\r\nPERENCANAAN STRATEGI SISTEM INFORMASI PADA\r\nSTIQ AL-LATHIFIYYAH.</t>
        </is>
      </c>
      <c r="D17" s="14" t="inlineStr">
        <is>
          <t>Perencanaan strategi sistem informasi menjadi suatu kebutuhan bagi perguruan\r\ntinggi guna memanfaatkan teknologi dengan efektif dalam mendukung kegiatan\r\nakademik dan administratif. STIQ Al-Lathifiyyah peguruan tinggi yang telah\r\nmenerapkan teknologi informasi untuk menunjang proses bisnis namun dalam\r\npenerapannya belum mendukung kegiatan bisnis secara optimal dan pengembangan\r\nsistem informasi belum dikelompokkan sesuai kebutuhan bisnis serta belum adanya\r\nrencana strategi pengembangan sistem sehingga diperlukan perencanaan strategi\r\nsistem informasi dengan tujuan menganalisis kondisi perguruan tinggi saat ini\r\nkemudian berupaya menciptakan suatu konsep yang terintegrasi dan mampu\r\nmengoptimalkan pemanfaatan sumber daya sistem informasi dan dalam\r\npengembangan sistem informasi menjadi lebih terarah. Dalam perencanaan strategi\r\nsistem informasi menggunakan framework Anita Cassidy yang terdiri dari empat\r\ntahap yakni Tahap Visioning, Tahap Analisis, Tahap Pengarahan, dan Tahap\r\nRekomendasi. Perencanaan strategi sistem informasi di STIQ Al-Lathifiyyah\r\nmenghasilkan 6 solusi strategi sistem informasi, 2 aplikasi support yaitu\r\npengembangan fitur peminjaman digital Perpustakaan dan sistem informasi\r\nmanajemen TI , 1 aplikasi high potential yaitu sistem informasi wisuda dan alumni,\r\n3 aplikasi strategic yaitu sistem informasi pendaftaran mahasiswa baru, sistem\r\ninformasi penjaminan mutu , pengembangan modul penerimaan SPP.</t>
        </is>
      </c>
      <c r="E17" s="11" t="n"/>
      <c r="F17" s="12" t="n"/>
    </row>
    <row r="18" ht="95" customHeight="1">
      <c r="A18" s="8" t="n">
        <v>17</v>
      </c>
      <c r="B18" s="17" t="inlineStr">
        <is>
          <t>Keamanan Sistem &amp; Pengelolaan Arsip</t>
        </is>
      </c>
      <c r="C18" s="10" t="inlineStr">
        <is>
          <t>ANALISIS KEPUASAN PENGGUNA APLIKASI E-DOSEN UIN RADEN FATAH PALEMBANG MENGGUNAKAN MODEL END-USER COMPUTING SATISFACTION (EUCS).</t>
        </is>
      </c>
      <c r="D18" s="10" t="inlineStr">
        <is>
          <t>USER SATISFACTION ANALYSIS OF E-LECTURER \r\nAPPLICATION UIN RADEN FATAH PALEMBANG USING \r\nEND-USER COMPUTING SATISFACTION (EUCS) MODEL \r\nABSTRACT \r\nE-Dosen is an application for measuring lecturer performance for remuneration \r\ncarried out by lecturers every 6 months which is calculated from the lecturer's \r\nperformance in the last semester in the form of how many credits the lecturer \r\nteaches in one semester and reports as SK, proof of teaching, writing journals and \r\ncommunity service. This application makes it easier for lecturers to do their jobs. \r\nRelated to the perception of users of the e-lecturer application which causes the \r\nnecessity to use the e-lecturer application that has been developed. This study aims \r\nto measure the level of user satisfaction. The satisfaction model used uses the EUCS \r\nModel. The EUCS Model consists of content variables, accuracy, format, ease of \r\nuse and timeliness which have an influence on user satisfaction. The results of this \r\nstudy indicate that the content variable has no influence on user satisfaction, the \r\naccuracy variable does not affect user satisfaction, the format variable does not \r\naffect user satisfaction, the ease of use variable does not affect user satisfaction, and \r\nthe timeliness variable affects user satisfaction. \r\nKeywords: Analysis, End User Computing Satisfaction, E-Lecturer \r\nApplication \r\n\r\nANALISIS KEPUASAN PENGGUNA APLIKASI E-DOSEN UIN \r\nRADEN FATAH PALEMBANG MENGGUNAKAN MODEL \r\nEND-USER COMPUTING SATISFACTION (EUCS) \r\nABSTRAK \r\nE-dosen adalah aplikasi pengukuran kinerja dosen untuk remunerasi yang \r\ndilakukan oleh dosen per-6 bulan sekali yang dihitung dari kinerja dosen dalam satu \r\nsemester belakang berupa berapa SKS dosen mengajar dalam satu semester dan \r\nlaporan sebagai SK, bukti mengajar, menulis jurnal dan pengabdian masyarakat. \r\nAplikasi ini memudahkan dosen mengerjakan tugas mereka. Berkaitan dengan \r\npresepsi pengguna Aplikasi e-dosen yang menyebabkan keharusan dalam \r\nmenggunakan aplikasi e-dosen yang telah dikembangkan. Penelitian ini bertujuan \r\nuntuk mengetahui pengaruh tingkat kepuasan pengguna. Model kepuasan yang \r\ndigunakan menggunakan Model EUCS, terdiri dari variabel isi (content), akurat \r\n(acuraccy), bentuk (format), kemudahan penggunaan (ease of use) dan ketetapan \r\nwaktu (timeliness) yang terdapat pengaruh pada kepuasan pengguna (user \r\nsattisfaction). Hasil penelitian ini menunjukan bahwa variabel content tidak \r\nterdapat pengaruh terhadap kepuasan pengguna, variabel acuraccy tidak \r\nberpengaruh terhadap kepuasan pengguna, variabel format tidak berpengaruh \r\nterhadap kepuasan pengguna, variabel ease of use tidak berpengaruh terhadap \r\nkepuasan pengguna, dan variabel timeliness berpengaruh terhadap kepuasan \r\npengguna. \r\nKata Kunci : Analisis, End User Computing Satisfaction, Aplikasi E-Dosen</t>
        </is>
      </c>
      <c r="E18" s="11" t="n"/>
      <c r="F18" s="12" t="n"/>
    </row>
    <row r="19" ht="95" customHeight="1">
      <c r="A19" s="13" t="n">
        <v>18</v>
      </c>
      <c r="B19" s="17" t="inlineStr">
        <is>
          <t>Keamanan Sistem &amp; Pengelolaan Arsip</t>
        </is>
      </c>
      <c r="C19" s="14" t="inlineStr">
        <is>
          <t>SISTEM INFORMASI TRACER STUDY ALUMNI SEKOLAH MENENGAH KEJURUAN TEKNOLOGI INFORMASI &amp; BISNIS INDOSAINS PALEMBANG.</t>
        </is>
      </c>
      <c r="D19" s="14" t="inlineStr">
        <is>
          <t>Vocational High School of Information Technology &amp;amp; Bussiness Indosains. Since the establishment of this Vocational High School there have been many graduates who have become alumni of the school, but alumni data from Vocational High School Information Technology &amp;amp; Business Indosains Palembang cannot be managed properly and there is not even a system that manages alumni data. Thus, an alumni tracer study information system is needed that can be used to properly manage alumni data. This research uses the Rapid Application Development method for the development method on the system, this method is used because this method has structured stages, and can be done in a short time, moreover the system can run well even though the system is made on a small scale. The end result of this research is to create an alumni tracer study information system that can manage alumni data, display job vacancy information, display alumni activity graphs after graduation, alumni satisfaction graphs, industrial world satisfaction graphs, and also display information on the distribution of alumni areas with maps.</t>
        </is>
      </c>
      <c r="E19" s="11" t="n"/>
      <c r="F19" s="12" t="n"/>
    </row>
    <row r="20" ht="95" customHeight="1">
      <c r="A20" s="8" t="n">
        <v>19</v>
      </c>
      <c r="B20" s="17" t="inlineStr">
        <is>
          <t>Keamanan Sistem &amp; Pengelolaan Arsip</t>
        </is>
      </c>
      <c r="C20" s="10" t="inlineStr">
        <is>
          <t>ANALISIS KEPUASAN PENGGUNA TERHADAP APLIKASI KEJAKSAAN MOBILE MENGGUNAKAN METODE END USER COMPUTING SATISFACTION (EUCS) PADA KEJAKSAAN TINGGI SUMATERA SELATAN.</t>
        </is>
      </c>
      <c r="D20" s="10" t="inlineStr">
        <is>
          <t>ABSTRACT\r\n\r\nDetermining user satisfaction with the South Sumatra High Prosecutor's Public Prosecutor's application depends on user satisfaction. The EUCS method has been used quantitatively by researchers. The objective of this study is to ascertain the degree of satisfaction of public prosecutor software users. Questionnaires were distributed to 188 mobile prosecutor respondents. The findings indicate that user satisfaction can be observed through the results for various variables: the content variable scored 81.83% in user satisfaction, the accuracy variable scored 82.71%, the format variable scored 81.96%, the ease of use variable scored 83.56%, and the timeliness variable scored 82.39%. Overall, user satisfaction across all variables was 82.39%.\r\nKeyword: User Satisfaction, Kejaksaan Mobile Application, EUCS</t>
        </is>
      </c>
      <c r="E20" s="11" t="n"/>
      <c r="F20" s="12" t="n"/>
    </row>
    <row r="21" ht="95" customHeight="1">
      <c r="A21" s="13" t="n">
        <v>20</v>
      </c>
      <c r="B21" s="17" t="inlineStr">
        <is>
          <t>Keamanan Sistem &amp; Pengelolaan Arsip</t>
        </is>
      </c>
      <c r="C21" s="14" t="inlineStr">
        <is>
          <t>Analisis Kesiapan Implementasi Knowledge Management Menggunakan APO KM Assessment Tool.</t>
        </is>
      </c>
      <c r="D21" s="14" t="inlineStr">
        <is>
          <t>Pengetahuan merupakan aset strategis organisasi terlebih bagi instansi pemerintahan, agar pengetahuan memiliki nilai maka diperlukan pengelolaan manajemen pengetahuan yang baik. Dinas Komunikasi dan Informatika Kota Palembang adalah unsur pelaksana urusan pemerintah dalam pemberian layanan informasi dan komunikasi pada masyarakat maupun lembaga-lembaga terkait. Manajemen pengetahuan diharapkan dapat mengurangi duplikasi upaya dalam mendapatkan suatu pengetahuan yang diperlukan untuk mengambil keputusan, mengurangi biaya dan operasional layanan, saat ini fokus kegiatan manajemen pengetahuan di Dinas Komunikasi dan Informatika Kota Palembang sudah ditahap pemantauan evaluasi, terkait program yang berjalan sudah mulai dikembangakan sebuah sistem yaitu e-simpan yang dapat memfasilitasi kegiatan manajemen pengetahuan, hal tersebut membuat instansi ini menyadari pentingnya dilakukan audit dalam penerapan manajemen pengetahuan, oleh karenanya dengan mengetahui tingkat atau level kematangan dalam penerapan knowledge management dapat membantu instansi menyoroti kondisi atau aspek manakah yang sudah optimal dan aspek yang memiliki peluang dilakukan perbaikan agar penerapan manajemen pengetahuan bisa terlaksana dengan lebih efektif.   Penelitian ini memiliki tujuan untuk menilai tingkat kesiapan implementasi knowledge management di Dinas Komunikasi dan Informatika Kota Palembang dengan menggunakan APO KM Assessment Tools dengan 7 kategori audit diantaranya Leadership, Process, People, , Technology, Learning and Innovation, Knowledge Process dan Outcomes. Berdasarkan penilaian pada instansi ini dihasilkan kesiapan knowledge management berada pada level 4 atau Refinement dengan total skor 174,16.</t>
        </is>
      </c>
      <c r="E21" s="11" t="n"/>
      <c r="F21" s="12" t="n"/>
    </row>
    <row r="22" ht="95" customHeight="1">
      <c r="A22" s="8" t="n">
        <v>21</v>
      </c>
      <c r="B22" s="18" t="inlineStr">
        <is>
          <t>Evaluasi Kesuksesan &amp; Adopsi Sistem Informasi</t>
        </is>
      </c>
      <c r="C22" s="10" t="inlineStr">
        <is>
          <t>ANALISIS MANAJEMEN RISIKO SISTEM INFORMASI \r\nDISTRIBUSI MENGGUNAKAN FMEA (FAILURE MODE AND \r\nEFFECTS ANALYSIS).</t>
        </is>
      </c>
      <c r="D22" s="10" t="inlineStr">
        <is>
          <t>Sistem informasi distribusi merupakan sistem informasi berbasis web yang digunakan untuk mengelola data dan menyajikan informasi terkait pembelian, penjualan, persediaan barang dagang, dan data keuangan. Terdapat beberapa  risiko yang pernah terjadi pada sistem informasi distribusi di PT. Mitra Anugerah Perkasa Sumsel yaitu gangguan server yang mengakibatkan terhambatnya proses \r\npenginputan data, human error dan jaringan tidak stabil. Penelitian ini bertujuan untuk menganalisis manajemen risiko sistem informasi distribusi di PT. Mitra Anugerah Perkasa Sumsel. Metode yang digunakan yaitu metode FMEA (Failure \r\nMode and Effects Analysis). Hasil analisis manajemen risiko sistem informasi distribusi menggunakan Failure Mode and Effect Analysis terdapat 25 risiko yang terdiri dari 4 risiko pada Risk Level High yaitu kegagalan sistem, server down, kerusakan komputer dan kegagalan manusia. Terdapat 3 risiko pada Risk Level Medium yaitu pembobolan informasi atau data, koneksi jaringan putus, dan tersebarnya informasi. Kemudian terdapat 16 risiko pada Risk Level Low yaitu adanya kesalahan pengalamatan IP, data pada sistem tidak cocok dengan data fisik, serangan virus, konektifitas jaringan menurun, informasi PC diakses secara ilegal, server overheat, data hilang, kegagalan jaringan, kerusakan perangkat jaringan, perangkat komputer out of dead, kerusakan server, kerusakan printer/scanner, pemalsuan atau penyalagunaan hak akses, komputer tidak dapat digunakan, hilangnya komponen perangkat jaringan dan penuhnya kapasitas.\r\nSerta terdapat 2 risiko pada Risk Level Very Low yaitu hilangnya komponen PC dan hilangnya printer/scanner.</t>
        </is>
      </c>
      <c r="E22" s="11" t="n"/>
      <c r="F22" s="12" t="n"/>
    </row>
    <row r="23" ht="95" customHeight="1">
      <c r="A23" s="13" t="n">
        <v>22</v>
      </c>
      <c r="B23" s="18" t="inlineStr">
        <is>
          <t>Evaluasi Kesuksesan &amp; Adopsi Sistem Informasi</t>
        </is>
      </c>
      <c r="C23" s="14" t="inlineStr">
        <is>
          <t>PEMANFAATAN MODEL HUMAN ORGANIZATION\r\nTECHNOLOGY NET BENEFIT (HOT-FIT) UNTUK\r\nMENGEVALUASI PENERAPAN SIMRS\r\nDI RUMAH SAKIT PUSRI PALEMBANG.</t>
        </is>
      </c>
      <c r="D23" s="14" t="inlineStr">
        <is>
          <t>Palembang Pusri Hospital has implemented a Hospital Management Information\r\nSystem (SIMRS) since 2012. SIMRS is used to support all health care business\r\nprocesses and administrative procedures to obtain information quickly, precisely,\r\nand accurately. During the implementation of SIMRS, there are several obstacles\r\nregarding the operational function of the system so that its use has not been running\r\noptimally. The obstacles that occur include SIMRS having features and functions\r\nthat are incomplete and not in accordance with user needs, and SIMRS is not yet\r\nuser friendly for its users. This study aims to evaluate the success of implementing\r\nSIMRS using the HOT-Fit model at the Palembang Pusri Hospital and to determine\r\nthe influence between variables. Based on the analytical approach, this research is\r\nclassified into quantitative research. This study involved 165 respondents. The data\r\nanalysis technique used is PLS-SEM with SmartPLS tools. The results showed that\r\nthe evaluation of the successful implementation of SIMRS based on user\r\nperceptions can be said to be good with a percentage of 76.1%. From the results of\r\nthe research conducted, it shows that the existence of the system helps users in\r\nsupporting their work and the successful use of the system from the user's\r\nperception at this time is at a successful level. Based on the results of hypothesis\r\ntesting in path-analysis, it is known that there are 8 relationships between variables\r\nthat have a significant effect and 4 relationships that do not have a significant effect.\r\nThe most significant influence is the influence of the organizational structure on the\r\norganizational environment. While the lowest level of correlation is the relationship\r\nbetween the quality of information and the use of the system.\r\nKeywords : Hospital, SIMRS, HOT-Fit, PLS-SEM</t>
        </is>
      </c>
      <c r="E23" s="11" t="n"/>
      <c r="F23" s="12" t="n"/>
    </row>
    <row r="24" ht="95" customHeight="1">
      <c r="A24" s="8" t="n">
        <v>23</v>
      </c>
      <c r="B24" s="18" t="inlineStr">
        <is>
          <t>Evaluasi Kesuksesan &amp; Adopsi Sistem Informasi</t>
        </is>
      </c>
      <c r="C24" s="10" t="inlineStr">
        <is>
          <t>USABILITY TESTING PADA APLIKASI E – LIBRARY UNIVERSITAS ISLAM NEGERI RADEN FATAH MENGGUNAKAN METODE SYSTEM USABILITY SCALE.</t>
        </is>
      </c>
      <c r="D24" s="10" t="inlineStr">
        <is>
          <t>E-Library UIN Raden Fatah adalah suatu aplikasi perpustakaan dari UPT. UIN Raden Fatah Palembang yang berguna untuk membaca buku, jurnal, majalah, novel, prosiding, dan mendapatkan informasi secara online. Aplikasi ini dapat diakses melalui smartphone sehingga memudahkan pengguna untuk membaca, meminjam, dan mengembalikan buku serta mendapatkan informasi tanpa terhalang jarak dan waktu. Tetapi terdapat keluhan dari para pengguna yang merasa adanya kendala dan kekurangan ketika menggunakan aplikasi ini. Oleh karena itu untuk mengetahui permasalahan yang ada pada aplikasi tersebut maka dilakukanlah usability testing. Penelitian ini dilakukan untuk mengetahui hasil dari tingkat tes kegunaan aplikasi e-Library UIN Raden Fatah oleh para pengguna khususnya mahasiswa sebagai respondennya dengan menggunakan metode System Usability Scale (SUS) yang terdiri dari 10 pernyataan dalam bentuk kuesioner dan disebarkan kepada 300 responden. Hasil dari penelitian ini memperoleh nilai rata-rata SUS sebesar 66 dengan adjective ratings “Ok”, kemudian grade scale masuk ke dalam kelas “D”, dan acceptability ranges berada pada kategori “Marginal” dan range “High”. Sedangkan percentile rank terletak pada percentile ke-44%. Dengan demikian dari hasil tersebut menunjukkan bahwa aplikasi e-library UIN Raden Fatah dapat diterima akan tetapi masih membutuhkan perbaikan untuk meningkatkan usabilitasnya, lalu diberikan beberapa rekomendasi perbaikan yang diharapkan dapat dijadikan sebagai rujukan untuk pengembang aplikasi dalam melakukan perbaikan usability sehingga aplikasi e-Library UIN Raden Fatah memiliki tingkat usability yang tinggi dan dapat mencapai kepuasan pengguna.</t>
        </is>
      </c>
      <c r="E24" s="11" t="n"/>
      <c r="F24" s="12" t="n"/>
    </row>
    <row r="25" ht="95" customHeight="1">
      <c r="A25" s="13" t="n">
        <v>24</v>
      </c>
      <c r="B25" s="18" t="inlineStr">
        <is>
          <t>Evaluasi Kesuksesan &amp; Adopsi Sistem Informasi</t>
        </is>
      </c>
      <c r="C25" s="14" t="inlineStr">
        <is>
          <t>Implementasi Algoritma FP-Growth Untuk Menentukan Pola Pembelian Konsumen Pada Data Transaksi Penjualan PT Ligno Specialty Chemicals.</t>
        </is>
      </c>
      <c r="D25" s="14" t="inlineStr">
        <is>
          <t>Persaingan bisnis di Indonesia saat ini semakin ketat terutama di industri manufaktur. PT Ligno Specialty Chemicals merupakan perusahaan industri kimia yang menerapkan model B2B dalam target pasarnya. PT Ligno harus menjaga hubungan terhadap pelanggan seperti memenuhi permintaan pelanggan atas stok barang yang akan dibeli. Akan tetapi menentukan jumlah persediaan barang untuk stok penjualan bukanlah hal yang mudah. Pada PT Ligno dalam menentukan jumlah persediaan barang hanya berdasarkan perkiraan belaka dan di sisi lain terdapat data transaksi penjualan yang belum dimanfaatkan secara optimal. Sehingga alternatif solusi pada penelitian ini yaitu memanfaatkan metode data mining dengan algoritma FP-Growth untuk mengetahui association rule antar barang. Penelitian ini bertujuan menentukan pola pembelian konsumen berdasarkan data transaksi penjualan tahun 2018-2021 dan mengevaluasi hasil association rules menggunakan lift ratio. Hasil penelitian menunjukkan algoritma FP-Growth dapat diterapkan untuk menentukan pola pembelian konsumen pada transaksi penjualan PT Ligno. Terdapat 8 association rules yang memenuhi minimum support 5% dan minimum confidence 80%, dan konsumen cenderung membeli item FGC-C043, FGC-C029, dan FGC-C042 secara bersamaan, dan juga pada item FGC-C012 dan FGC-C013. Adapun rules dengan nilai support, confidence, dan lift ratio tertinggi yaitu jika membeli item FGC-C043 maka juga membeli item FGC-C029 dan FGC-C042 dengan nilai support 6,3%, confidence 100%, dan lift ratio 14,458. Hasil evaluasi terhadap kombinasi minimum support dan minimum confidence, menunjukkan terdapat empat rules dengan lift ratio kurang dari satu. Sehingga secara keseluruhan, rules yang dihasilkan pada algoritma FP-Growth selain ke empat rules tersebut valid jika dijadikan acuan dalam penentuan persediaan barang.</t>
        </is>
      </c>
      <c r="E25" s="11" t="n"/>
      <c r="F25" s="12" t="n"/>
    </row>
    <row r="26" ht="95" customHeight="1">
      <c r="A26" s="8" t="n">
        <v>25</v>
      </c>
      <c r="B26" s="18" t="inlineStr">
        <is>
          <t>Evaluasi Kesuksesan &amp; Adopsi Sistem Informasi</t>
        </is>
      </c>
      <c r="C26" s="10" t="inlineStr">
        <is>
          <t>E-COMMERCE OTO MANDIRI DENGAN METODE FRAMEWORK FOR THE APPLICATION OF SYSTEM THINGKING.</t>
        </is>
      </c>
      <c r="D26" s="10" t="inlineStr">
        <is>
          <t>Oto Mandiri merupakan perusahaan yang bergerak dibidang penjualan sparepart motor. Saat ini proses permintaan barang masih dilakukan dengan cara manual, hal ini mengakibatkan adanya ketidak cocokan antara stok barang yang di catat dengan stok barang yang ada, sehingga memperlambat dalam melakukan pendistribusi barang. Selain itu data penjualan barang  hanya disimpan dalam bentuk nota yang masih ditulis tangan, sehinga terjadi pencatatan data yang sama. Berdasarkan permasalahan yang dianalisis melalui metode pengamatan proses bisnis yang ada. Metode system yang di gunakan FAST (Framework for the Application of System Thinking) Kemudian sistem dirancang dengan membuat Entity Relational Diagram, Unified Modeling Language, dan menggunakan PHP (PHP Hypertext Preprocessor) sebagai bahasa pemrograman untuk pembuatan website. Sedangkan MySQL merupakan  software  RDBMS (server  database). Hasil dari proses verifikasi dan validasi adalah dapat menghasilkan aplikasi yang mudah dipahami, aplikasi dapat membantu proses pengolahan data barang masuk dan keluar, melihat laporan periodik, dan menghasilkan data yang valid.\r\n\r\nKata Kunci: Sistem Informasi, E-Commerce, Penjualan, FAST.</t>
        </is>
      </c>
      <c r="E26" s="11" t="n"/>
      <c r="F26" s="12" t="n"/>
    </row>
    <row r="27" ht="95" customHeight="1">
      <c r="A27" s="13" t="n">
        <v>26</v>
      </c>
      <c r="B27" s="19" t="inlineStr">
        <is>
          <t>End-User Computing Satisfaction (EUCS)</t>
        </is>
      </c>
      <c r="C27" s="14" t="inlineStr">
        <is>
          <t>ANALISIS KUALITAS LAYANAN WEBSITE HOTEL SWARNA DWIPA PALEMBANG MENGGUNAKAN WEBQUAL 4.0 DAN IMPORTANCE PERFORMANCE ANALYSIS (IPA).</t>
        </is>
      </c>
      <c r="D27" s="14" t="inlineStr">
        <is>
          <t>Hotel Swarna Dwipa Palembang ialah Badan Usaha Milik Daerah yang menyediakan fasilitas penginapan bagi tamu-tamu pemerintah maupun swasta, serta jasa laundry, sewa gedung, dan cafe. Hotel Swarna Dwipa Palembang juga memiliki website yang digunakan sebagai sarana informasi tentang fasilitas, promosi serta berbagai informasi kegiatan yang diselenggarakan oleh Hotel Swarna Dwipa Palembang. Namun pihak Hotel Swarna Dwipa Palembang tidak dapat mengetahui tingkat kualitas layanan website yang dibangun apakah sudah baik bagi penggunanya selain itu keberadaan situs website saat ini menjadi sebuah kewajiban bagi setiap bisnis untuk meningkatkan jangkauan pemasaran dan informasi secara digital. Tujuan dari penelitian ini adalah untuk mengetahui sejauh mana kualitas layanan website Hotel Swarna Dwipa Palembang berdasarkan metode WebQual 4.0 dan IPA dengan pendekatan kuantitatif yang dilakukan dengan cara survei kepada pengguna website. Hasil dari penelitian ini berupa nilai rata rata dari masing masing variabel dan dipetakan dalam bentuk diagram kartesius yang terbagi menjadi 4 kuadran. Dari hasil perhitungan rata-rata nilai kesenjangan (GAP) pada website Hotel Swarna Dwipa Palembang menunjukkan hasil negatif ( &amp;lt;0) yaitu sebesar -0,7. Hasil tersebut menunjukkan bahwa tingkat kinerja Hotel Swarna Dwipa Palembang masih kurang dan belum memenuhi harapan pengguna.</t>
        </is>
      </c>
      <c r="E27" s="11" t="n"/>
      <c r="F27" s="12" t="n"/>
    </row>
    <row r="28" ht="95" customHeight="1">
      <c r="A28" s="8" t="n">
        <v>27</v>
      </c>
      <c r="B28" s="19" t="inlineStr">
        <is>
          <t>End-User Computing Satisfaction (EUCS)</t>
        </is>
      </c>
      <c r="C28" s="10" t="inlineStr">
        <is>
          <t>ANALISIS  KUALITAS WEBSITE MAN 3 PALEMBANG MENGGUNAKAN MODEL WEBQUAL 4.0 DAN IMPORTANCE PERFORMANCE ANALYSIS.</t>
        </is>
      </c>
      <c r="D28" s="10" t="inlineStr">
        <is>
          <t>Penelitian ini membahas analisis kualitas website MAN 3 Palembang dengan menggunakan model WebQual 4.0 dan Importance Performance Analysis. Penelitian bertujuan untuk mengetahui tingkat kualitas website MAN 3 Palembang serta mengidentifikasi atribut WebQual yang perlu ditingkatkan dan dipertahankan. Data penelitian diperoleh dari 96 responden melalui kuesioner. Dari hasil perhitungan rata-rata nilai kesenjangan (GAP) pada website MAN 3 Palembang menunjukkan hasil negatif (&amp;lt;0) yaitu  sebesar –0,15, yang mengindikasikan bahwa tingkat kualitas website masih belum sepenuhnya memenuhi harapan pengguna. Berdasarkan analisis kuadran IPA, terdapat 2 indikator pada kuadran A (Prioritas Utama) yang perlu diperbaiki, 11 atribut pada kuadran B (Pertahankan Prestasi) yang sudah memiliki kinerja baik, 10 atribut pada kuadran C (Prioritas Rendah) yang tetap perlu diperhatikan, dan tidak ada atribut pada kuadran D (Berlebihan). Temuan penelitian ini dapat menjadi acuan bagi pihak pengelola website MAN 3 Palembang dalam perbaikan dan pengembangan website.</t>
        </is>
      </c>
      <c r="E28" s="11" t="n"/>
      <c r="F28" s="12" t="n"/>
    </row>
    <row r="29" ht="95" customHeight="1">
      <c r="A29" s="13" t="n">
        <v>28</v>
      </c>
      <c r="B29" s="19" t="inlineStr">
        <is>
          <t>End-User Computing Satisfaction (EUCS)</t>
        </is>
      </c>
      <c r="C29" s="14" t="inlineStr">
        <is>
          <t>SISTEM PENDUKUNG KEPUTUSAN SELEKSI PELATIHAN\r\nINTERNSHIP DENGAN METODE PROFILE MATCHING\r\nPADA PT. PERTAMINA.</t>
        </is>
      </c>
      <c r="D29" s="14" t="inlineStr">
        <is>
          <t>Dalam proses seleksi internship di PT. Pertamina Patra Niaga, khususnya di divisi SSC ICT MOR II Palembang, ditemukan beberapa permasalahan, seperti sistem penilaian yang tidak terstruktur dan subjektif akibat ketiadaan kriteria penilaian yang jelas, sehingga memperlambat pengambilan keputusan dan mengurangi objektivitas. Selain itu, kebijakan membatasi jumlah calon peserta serta prioritas bagi pendaftar awal berpotensi menimbulkan ketidakadilan. Peserta juga menghadapi kesulitan dalam melengkapi berkas karena harus menyerahkan dokumen fisik secara langsung, yang jika terdapat kekurangan harus kembali lagi ke lokasi, menghabiskan waktu dan biaya. Sementara itu, admin mengalami kesulitan dalam memverifikasi dokumen peserta secara manual, yang turut memperlambat keseluruhan proses seleksi. Oleh karena itu, diperlukan sebuah sistem yang dapat mempermudah proses seleksi dan membantu calon peserta serta kepala divisi dalam pengambilan keputusan. Penelitian ini mengusulkan penerapan metode profile matching dalam sistem pendukung keputusan. Data dikumpulkan melalui observasi, wawancara, dan studi pustaka. Sistem dikembangkan menggunakan metode prototype dengan bahasa pemrograman PHP dan MySQL sebagai basis data. Desain sistem dirancang menggunakan UML, sementara pengujian dilakukan dengan metode Black-box testing. Sistem pendukung keputusan yang dibangun memiliki tiga jenis hak akses, yaitu Admin, Kepala Divisi, dan Peserta. Penerapan metode Profile Matching dapat menampilkan hasil berupa penilaian dari setiap aspek dimana didapatkan pemeringkatan. Hasil 4 peringkat tertinggi ini dijadikan kriteria peserta internship yang sesuai kebutuhan yang telah ditetapkan oleh divisi SSC ICT MOR II Palembang. Hasil pengujian Black-box testing, sistem ini memenuhi semua persyaratan fungsional, terbebas dari kesalahan sintaksis, dan mampu menghasilkan fungsi sesuai dengan desain yang telah direncanakan. Dengan demikian, sistem ini dapat memenuhi kebutuhan pengguna, seperti mempermudah proses pendaftaran, penilaian peserta, dan pengelolaan data seleksi internship di PT. Pertamina Patra Niaga, khususnya pada fungsi SSC ICT MOR II Palembang. Hasil akhir dari pengembangan sistem ini adalah terciptanya sistem pendukung keputusan yang mampu membantu proses seleksi internship secara lebih efisien, sehingga mempermudah pengambilan keputusan di divisi SSC ICT MOR II Palembang.</t>
        </is>
      </c>
      <c r="E29" s="11" t="n"/>
      <c r="F29" s="12" t="n"/>
    </row>
    <row r="30" ht="95" customHeight="1">
      <c r="A30" s="8" t="n">
        <v>29</v>
      </c>
      <c r="B30" s="19" t="inlineStr">
        <is>
          <t>End-User Computing Satisfaction (EUCS)</t>
        </is>
      </c>
      <c r="C30" s="10" t="inlineStr">
        <is>
          <t>Pengukuran Capability Level Menggunakan Framework COSO Pada PT Putera Raja Sejahtera.</t>
        </is>
      </c>
      <c r="D30" s="10" t="inlineStr">
        <is>
          <t>Sistem Informasi Penjualan di PT Putera Raja Sejahtera belum pernah adanya pengukuran dan evaluasi peningkatan pengembangan manajemen perusahaan. Oleh karena itu perlu diadakannya pengukuran tingkat capability level sistem informasi guna meningkatkan pengembangan manajemen perusahaan dan mengetahui sejauh mana proses bisnis dengan disertai rekomendasi berdasarkan standar dari framework COSO. Tujuan dari penelitian ini untuk mengetahui hasil capability level dan rekomendasi sebagai bahan masukan unit informasi dan teknologi dalam menentukan perencanaan pengembangan sistem informasi selanjutnya. Metode yang digunakan ialah Capability Maturity Model Integration (CMMI) menggunakan framework COSO dengan menerapkan 5 domain yaitu Control Environment, Risk Assessment, Control Activities, Information and Communication dan Monitoring. Hasil capability level PT Putera Raja Sejahtera dalam layanan teknologi informasi pada lima komponen dari hasil temuan berada pada level 2 (Managed Process) dengan nilai 1,78. Hal ini diartikan proses atau kegiatan layanan Sistem Informasi Penjualan PT Putera Raja Sejahtera telah direncanakan, dilaksanakan, diukur, dan dikontrol dengan baik sesuai dengan kebijakan organisasi. Maka diberikan rekomendasi untuk perbaikan sistem informasi selanjutnya.</t>
        </is>
      </c>
      <c r="E30" s="11" t="n"/>
      <c r="F30" s="12" t="n"/>
    </row>
    <row r="31" ht="95" customHeight="1">
      <c r="A31" s="13" t="n">
        <v>30</v>
      </c>
      <c r="B31" s="19" t="inlineStr">
        <is>
          <t>End-User Computing Satisfaction (EUCS)</t>
        </is>
      </c>
      <c r="C31" s="14" t="inlineStr">
        <is>
          <t>Sistem Rekomendasi Paket Menu Makanan dan Minuman Menggunakan Algoritma Fp-Growth.</t>
        </is>
      </c>
      <c r="D31" s="14" t="inlineStr">
        <is>
          <t>Kedai Kopi Raja Palembang selama ini hanya menggunakan data transaksi sebagai dokumentasi tanpa analisis lebih lanjut, sehingga sulit menentukan produk terlaris dan pola pembelian pelanggan. Penelitian ini bertujuan untuk mengembangkan sistem rekomendasi paket menu menggunakan algoritma Fp-Growth guna menganalisis data transaksi dan memberikan rekomendasi yang lebih relevan. Metode pengembangan yang digunakan adalah metode Prototype, dengan penerapan tahapan Knowledge Discovery in Database (KDD) yang meliputi seleksi data, preprocessing, transformasi, penerapan algoritma FP-Growth, dan evaluasi menggunakan Lift ratio. Sistem dikembangkan menggunakan Python dan memungkinkan pengguna menentukan nilai minimum support dan confidence secara fleksibel. Hasil penelitian dari data yang digunakan pada histori  transkasi kedai kopi raja menunjukkan bahwa sistem berhasil mengidentifikasi 24 aturan asosiasi dari minimum support 1% dan confidence 70%, kemudian dilakukan evaluasi dengan Lift ratio yang memiliki hubungan kuat antar item dan diambil 5 aturan yang tertinggi dari hasil Lift ratio untuk rekomendasi menu. Pada implementasi algoritma Fp-Growth dalam sistem rekomendasi berbasis data transaksi bisa membuat pemilik usaha dalam mengambil keputusan dengan memanfaatkan data transaksi, untuk meningkatkan efisiensi penyusunan menu, serta menjadi model bagi bisnis kuliner lainnya dalam mengoptimalkan strategi pemasaran.</t>
        </is>
      </c>
      <c r="E31" s="11" t="n"/>
      <c r="F31" s="12" t="n"/>
    </row>
    <row r="32" ht="95" customHeight="1">
      <c r="A32" s="8" t="n">
        <v>31</v>
      </c>
      <c r="B32" s="20" t="inlineStr">
        <is>
          <t>Analitik Data, Prediksi &amp; Manajemen Risiko IT</t>
        </is>
      </c>
      <c r="C32" s="10" t="inlineStr">
        <is>
          <t>IMPLEMENTASI TECHNOLOGY ACCEPTANCE MODEL (TAM) PADA PENGGUNA E-OFFICE DI OKU.</t>
        </is>
      </c>
      <c r="D32" s="10" t="inlineStr">
        <is>
          <t>Transformasi digital dalam sektor pemerintahan telah mendorong penerapan sistem elektronik seperti E-Office untuk meningkatkan efisiensi dan efektivitas pengelolaan administrasi. Kabupaten Ogan Komering Ulu (OKU) merupakan salah satu daerah yang telah mengadopsi sistem E-Office sejak tahun 2020 dan terus mengalami pembaruan hingga tahun 2024 untuk meningkatkan kinerja serta keamanan sistem. Meskipun seluruh pegawai telah dibekali pelatihan, implementasi E-Office masih menghadapi berbagai kendala, seperti kesulitan teknis (contohnya face ID error), keterbatasan fitur, dan tantangan adaptasi teknologi khususnya di kalangan pegawai lansia. Penelitian ini menggunakan pendekatan Technology Acceptance Model (TAM) dengan fokus pada variabel Perceived Ease of Use, Perceived Usefulness, Attitude Toward Using Technology, Behavioral Intention, dan Actual Technology Use untuk mengidentifikasi faktor yang memengaruhi penggunaan sesungguhnya E-Office OKU. Hasil penelitian menunjukkan bahwa hanya Perceived Usefulness yang berpengaruh signifikan terhadap Actual Technology Use, sementara variabel lainnya tidak memberikan pengaruh yang signifikan. Temuan ini menekankan pentingnya persepsi manfaat dalam meningkatkan adopsi sistem E-Office. Dengan demikian, strategi penguatan persepsi terhadap manfaat teknologi menjadi kunci utama dalam keberhasilan transformasi digital di lingkungan pemerintahan. \r\nKata Kunci: Implementasi, Technology Acceptance Model, E-Ofiice</t>
        </is>
      </c>
      <c r="E32" s="11" t="n"/>
      <c r="F32" s="12" t="n"/>
    </row>
    <row r="33" ht="95" customHeight="1">
      <c r="A33" s="13" t="n">
        <v>32</v>
      </c>
      <c r="B33" s="20" t="inlineStr">
        <is>
          <t>Analitik Data, Prediksi &amp; Manajemen Risiko IT</t>
        </is>
      </c>
      <c r="C33" s="14" t="inlineStr">
        <is>
          <t>SISTEM INFORMASI POINT OF SALES (POS) PENGELOLAAN DATA PENJUALAN IKAN BERBASIS ANDROID.</t>
        </is>
      </c>
      <c r="D33" s="14" t="inlineStr">
        <is>
          <t>Agen ikan merupakan tempat usaha penjualan berbagai macam jenis ikan. Agen ikan ini memiliki kendala dimana proses transaksi dan pengelolaan data laporan penjualan terhadap pembeli masih mencatat pada selembar kertas dikarenakan belum memanfaatkan sistem Point Of Sales. Hal ini menjadi sulit apabila produk yang dibeli oleh pembeli banyak dalam satu kali pembelian yang bisa terjadi kesalahan dalam menghitung, proses tersebut memerlukan waktu 5 menit. Metode pendekatan sistem Point Of Sales ini menggunakan model Rapid Application Development (RAD) memfokuskan pada siklus pembangunan singkat, sebab waktu singkat ialah batasan penting untuk model ini. Hasil sistem ini dapat mengerjakan pengelolaan data, laporan penjualan dan melayani transaksi yang dilakukan oleh pembeli hanya diperlukan waktu 1 menit, dengan menggunakan sistem Point Of Sales ini dapat menghemat waktu 4 menit.</t>
        </is>
      </c>
      <c r="E33" s="11" t="n"/>
      <c r="F33" s="12" t="n"/>
    </row>
    <row r="34" ht="95" customHeight="1">
      <c r="A34" s="8" t="n">
        <v>33</v>
      </c>
      <c r="B34" s="20" t="inlineStr">
        <is>
          <t>Analitik Data, Prediksi &amp; Manajemen Risiko IT</t>
        </is>
      </c>
      <c r="C34" s="10" t="inlineStr">
        <is>
          <t>ANALISIS KESUKSESAN EDUCATION MANAGEMENT INFORMATION SYSTEM (EMIS) DALAM PENGELOLAAN DATA PENDIDIKAN DI KOTA PALEMBANG MENGGUNAKAN HOT-FIT MODEL.</t>
        </is>
      </c>
      <c r="D34" s="10" t="inlineStr">
        <is>
          <t>EMIS adalah suatu sistem yang digunakan untuk mengelola data pendidikan Islam yang dikelola oleh Kementerian Agama. Penelitian ini bertujuan untuk menganalisis faktor-faktor yang mempengaruhi kesuksesan implementasi EMIS dalam pengelolaan data pendidikan dibawah naungan Kementerian Agama di kota Palembang. Penelitian ini menggunakan Human Organization Technology (HOT)-Fit model. Data dianalisis dengan PLS-SEM menggunakan tool SmartPLS 4. Hasil penelitian menunjukkan bahwa ada 7 hipotesis diterima yaitu kepuasan pengguna terhadap manfaat bersih, kepuasan pengguna terhadap penggunaan sistem, kualitas informasi terhadap kepuasan pengguna, kualitas layanan terhadap kepuasan pengguna, struktur organisasi terhadap lingkungan organisasi, struktur organisasi terhadap kepuasan pengguna, struktur organisasi terhadap manfaat bersih dan terdapat 6 hipotesis yang tidak diterima yaitu penggunaan sistem terhadap manfaat bersih, lingkungan organisasi terhadap manfaat bersih, kualitas sistem terhadap penggunaan sistem, kualitas sistem terhadap kepuasan pengguna, kualitas layanan terhadap penggunaan sistem, kualitas informasi terhadap penggunaan sistem. Pengaruh yang paling signifikan adalah pengaruh antara struktur organisasi terhadap lingkungan organisasi dengan nilai t-statistik diatas 1,96 yaitu sebesar 34,037. Sedangkan tingkat korelasinya paling rendah yaitu antara kualitas sistem terhadap penggunaan sistem sebesar 0,158.</t>
        </is>
      </c>
      <c r="E34" s="11" t="n"/>
      <c r="F34" s="12" t="n"/>
    </row>
    <row r="35" ht="95" customHeight="1">
      <c r="A35" s="13" t="n">
        <v>34</v>
      </c>
      <c r="B35" s="20" t="inlineStr">
        <is>
          <t>Analitik Data, Prediksi &amp; Manajemen Risiko IT</t>
        </is>
      </c>
      <c r="C35" s="14" t="inlineStr">
        <is>
          <t>E-KECAMATAN SEMATANG BORANG WEB BASED USING \r\nFRAMEWORK CODEIGNITER.</t>
        </is>
      </c>
      <c r="D35" s="14" t="inlineStr">
        <is>
          <t>The roles and functions of the sub-districts have not been maximized in community \r\nservice because the process of making letters makes residents reluctant to return to \r\nthe sub-district office to complete the requirements again. This research to assist \r\nresidents and sub-districts in the process of submitting letter requirements. This \r\nsystem helps in bridging the process of making letters between residents and the sub-district. By using this system, residents do not have to come to the sub-district office \r\nto complete the requirements for making letters, and the sub-district can manage \r\nstored letters properly. In addition, it makes it easier for the sub-district to find out \r\nhow many residents have submitted a letter-making application. This E-kecamatan \r\nsystem was built using the Waterfall development method. This research resulted in \r\na infromation system for the sub-district as a means of liaison between the community \r\nand the sub-district in serving the making of letters</t>
        </is>
      </c>
      <c r="E35" s="11" t="n"/>
      <c r="F35" s="12" t="n"/>
    </row>
    <row r="36" ht="95" customHeight="1">
      <c r="A36" s="8" t="n">
        <v>35</v>
      </c>
      <c r="B36" s="20" t="inlineStr">
        <is>
          <t>Analitik Data, Prediksi &amp; Manajemen Risiko IT</t>
        </is>
      </c>
      <c r="C36" s="10" t="inlineStr">
        <is>
          <t>SISTEM INFORMASI SUMBER DAYA MANUSIA BERBASIS WEB DENGAN FRAMEWORK CODEIGNITER ( STUDI KASUS : STASIUN METEOROLOGI KELAS II SMB II PALEMBANG ).</t>
        </is>
      </c>
      <c r="D36" s="10" t="inlineStr">
        <is>
          <t>SISTEM INFORMASI SUMBER DAYA MANUSIA BERBASISWEB DENGAN FRAMEWORK CODEIGNITER ( STUDI KASUS : STASIUN METEOROLOGI KELAS II SMB II PALEMBANG )\r\n \r\nABSTRAK\r\nSalah satu aspek yang perlu ditunjang oleh teknologi adalah pengolahan data SDM. Saat ini di Stasiun meteorologi Kelas II SMB II Palembang belum adanya suatu sistem yang dapat mempermudah pengolahan data SDM, akses pimpinan untuk mengetahui data SDM serta pengambilan keputusan yang masih bersifat subjektif. Dimana biasanya proses pengelolaan data SDM yang kurang efektif dikarenakan data hanya diolah dengan menggunakan microsoft excel yang mengakibatkan data tidak dapat dijadikan sebagai tolak ukur dalam membantu pengambilan keputusan yang berupa data kuantitas dan kualitas dari SDM. Dalam penelitian ini penulis menggunakan metode</t>
        </is>
      </c>
      <c r="E36" s="11" t="n"/>
      <c r="F36" s="12" t="n"/>
    </row>
    <row r="37" ht="95" customHeight="1">
      <c r="A37" s="13" t="n">
        <v>36</v>
      </c>
      <c r="B37" s="21" t="inlineStr">
        <is>
          <t>Analisis Sentimen &amp; Ulasan Pengguna</t>
        </is>
      </c>
      <c r="C37" s="14" t="inlineStr">
        <is>
          <t>Audit Sistem Informasi Pelayanan Perpustakaan UIN Raden \r\nFatah (SLiMS) Menggunakan ITIL V4 Praktik Service \r\nManagement.</t>
        </is>
      </c>
      <c r="D37" s="14" t="inlineStr">
        <is>
          <t>Audit sistem informasi adalah proses pengumpulan data serta penilaian bukti \r\ndalam menentukan apakah sistem informasi bisa mencapai tujuan organisasi \r\nsecara efisiensi. Dalam penelitian ini framework yang digunakan adalah \r\nInformation System Infrastucture Library (ITIL) V4 dengan Praktik yang \r\ndigunakan dalam penelitian adalah Service Management Practices. Unit \r\nPelaksana Tugas (UPT) UIN Raden Fatah Palembang merupakan salah satu \r\nlembaga yang bertugas malayani mahasiswa dalam literasi dan pustaka. Ada \r\nberagam layanan sistem informasi yang telah terdigitalisasi oleh UPT UIN Raden \r\nFatah Palembang, Salah satunya adalah Senayan Library Management System\r\n(SLiMS). SLiMS merupakan salah satu layanan sistem informasi salah satu \r\naktifitasnya pencarian bahan literasi serta mempermudah dan mepercepat \r\npencarian. Sistem informasi layanan salah satu layanan yang dapat digunakan \r\nadalah mengelola koleksi yang terekam di perpustakaan. Hasil dari penelitian ini \r\nberupa temuan dalam tiap-tiap praktik serta hasil maturity level yang dicapai pada \r\npraktik-praktik tersebut. UPT Perpustakaan telah menerapkan pengelolaan \r\nlayanan TI melalui SLiMS Raden Fatah yang mencapai level maturity 3 pada \r\nmanajemen ketersediaan, kapasitas dan manajemen kinerja level maturity 1, \r\nmanajemen insiden level maturity 1, manajemen aset TI level maturity 3, \r\nmanajemen katalog layanan level maturity 3, manajemen konfigurasi layanan \r\nlevel maturity 1, desain layanan level maturity 3. Temuan dan level yang dicapai \r\ntersebut akan menjadi pertimbangan organisasi dalam melihat bagaimana keadaan \r\nlayanan yang telah berjalan selama ini. temuan audit menyatakan bahwa pada \r\npraktik manajemen ketersediaan, praktik manajemen aset TI, praktik manajemen \r\nkatalog, dan praktik desain layanan telah dicapai dengan baik, sedangkan untuk \r\npraktik kapasitas dan manajemen kinerja, manajemen insiden, dan manajemen \r\nkonfigurasi layanan masih perlu perbaikan secara menyeluruh. \r\n\r\nKata Kunci: UPT Perpustakaan, SLiMS, ITIL V4, Praktik Service\r\nManagement Practices, Maturity Level</t>
        </is>
      </c>
      <c r="E37" s="11" t="n"/>
      <c r="F37" s="12" t="n"/>
    </row>
    <row r="38" ht="95" customHeight="1">
      <c r="A38" s="8" t="n">
        <v>37</v>
      </c>
      <c r="B38" s="21" t="inlineStr">
        <is>
          <t>Analisis Sentimen &amp; Ulasan Pengguna</t>
        </is>
      </c>
      <c r="C38" s="10" t="inlineStr">
        <is>
          <t>PENILAIAN TATA KELOLA TEKNOLOGI INFORMASI E-LEARNING UNIVERSITAS MUHAMMADIYAH PALEMBANG MENGGUNAKAN COBIT 5 PADA DOMAIN EVALUATE DIRECT AND MONITORING.</t>
        </is>
      </c>
      <c r="D38" s="10" t="inlineStr">
        <is>
          <t>Penelitian ini bertujuan untuk mengukur tingkat kapabilitas dan mengetahui jumlah gap dari tata kelola tekinologi informasi e-learning universitas muhammadiyah Palembang dengan menggunakan metode COBIT 5 dengan fokus domain EDM, penelitian ini menggunakan 5 orang responden sesuai RACI Chart, metode pengumpulan data dilakukan secara langsung tatap muka, hasil dari tingkat kapabilitas menunjukan EDM01 di level 4(Predictable process), EDM02 di level 4(Predictable process), EDM03 di level 4(Predictable process), EDM04 di level 4(Predictable process) dan EDM05 di level 5(Optimizing process), sehingga dapat dilihat tata kelola teknologi informasi e-learning sudah cukup baik.</t>
        </is>
      </c>
      <c r="E38" s="11" t="n"/>
      <c r="F38" s="12" t="n"/>
    </row>
    <row r="39" ht="95" customHeight="1">
      <c r="A39" s="13" t="n">
        <v>38</v>
      </c>
      <c r="B39" s="21" t="inlineStr">
        <is>
          <t>Analisis Sentimen &amp; Ulasan Pengguna</t>
        </is>
      </c>
      <c r="C39" s="14" t="inlineStr">
        <is>
          <t>SISTEM INFORMASI PUPUK SUBSIDI MENGGUNAKAN METODE EXTREME PROGRAMMING PADA CV BINTANG AGRO SEMENDE.</t>
        </is>
      </c>
      <c r="D39" s="14" t="inlineStr">
        <is>
          <t>With current technological advances, computerized systems have almost replaced\r\nall manual systems which then provide benefits in various ways, one of which is\r\nmanaging fertilizer stocks. The government's subsidized fertilizer policy supports\r\nthe agricultural sector by providing cheap fertilizer to farmers with the aim of\r\nincreasing agricultural productivity, increasing farmer income, and achieving\r\nsustainability of the national food system. An effective information system is\r\nneeded to manage subsidized fertilizer data, so that distribution can be carried out\r\nmore efficiently and transparently. CV Bintang Agro Semende is a company\r\nengaged in the distribution of Indonesian subsidized fertilizers located in\r\nPalembang and the work area is in Muara Enim. By facilitating companies and\r\nretailers in managing the distribution of subsidized fertilizer, a subsidized fertilizer\r\ninformation system is needed to increase productivity. This research utilizes the\r\napplication of the Agile Software Development concept using the Extreme\r\nProgramming (XP) method as well as software modeling using UML modeling.\r\nThe expected result of this research is an effective and efficient subsidized fertilizer\r\ninformation system that tracks and manages the distribution of subsidized fertilizers\r\nin a transparent and precise manner.\r\nKeyword: Subsidies, Distribution, Information Systems</t>
        </is>
      </c>
      <c r="E39" s="11" t="n"/>
      <c r="F39" s="12" t="n"/>
    </row>
    <row r="40" ht="95" customHeight="1">
      <c r="A40" s="8" t="n">
        <v>39</v>
      </c>
      <c r="B40" s="21" t="inlineStr">
        <is>
          <t>Analisis Sentimen &amp; Ulasan Pengguna</t>
        </is>
      </c>
      <c r="C40" s="10" t="inlineStr">
        <is>
          <t>ANALISIS KEAMANAN INFORMASI PADA POLITEKNIK \r\nTRANSPORTASI SUNGAI DANAU DAN PENYEBERANGAN (SDP) \r\nPALEMBANG MENGGUNAKAN INDEKS KEAMANAN INFORMASI \r\n(KAMI).</t>
        </is>
      </c>
      <c r="D40" s="10" t="inlineStr">
        <is>
          <t>Informasi merupakan aset berharga bagi sebuah instansi, namun rentan terhadap \r\nkebocoran. Biasanya, informasi ini disimpan dalam sebuah sistem, sehingga \r\nmemerlukan pengamanan. Berdasarkan Lanskep Keamanan Siber Indonesia 2023, \r\nBSSN mendeteksi 103 dugaan kebocoran data, dengan puncak kasus terjadi pada \r\nMaret 2023 sebanyak 20 kasus dan Desember 2023 sebanyak 15 kasus. Selain itu, \r\nberbagai instansi dan organisasi juga menghadapi masalah keamanan lainnya. \r\nUntuk mencegah dan mengurangi ancaman keamanan informasi, instansi perlu \r\nmelakukan penilaian keamanan informasi sesuai standar dan ketentuan yang \r\nberlaku. Salah satu cara adalah dengan menggunakan Indeks Keamanan Informasi \r\n(KAMI), yang merupakan alat ukur untuk menganalisis tingkat kesiapan \r\npengamanan informasi di suatu organisasi berdasarkan standar SNI ISO 27001. \r\nOleh karena itu, dilakukan analisis keamanan informasi di Politeknik Transportasi \r\nSungai, Danau, dan Penyeberangan Palembang untuk menilai kematangan dan \r\nkelengkapan keamanan informasi.  Indeks KAMI versi 4.2, analisis ini mencakup \r\n7 area evaluasi. Hasil akhir dari penggunaan Indeks KAMI ini yaitu penilaian \r\ntingkat penggunaan Sistem Elektronik menunjukkan skor sebesar 33, yang berarti \r\nPoliteknik Transportasi SDP Palembang Masuk dalam kategori Tinggi, artinya \r\nsistem elektronik telah termasuk elemen tak terpisahkan dengan alur kerja yang \r\nberlangsung atau menjadi inti dari proses kerja. Namun, total hasil dari penilaian \r\npada kelima area hanya mencapai skor 12, yang menunjukkan bahwa status \r\nkesiapan berada dikategori tidak layak dalam memenuhi standar ISO/IEC \r\n27001:2013 dengan masuk kategori &amp;quot;merah&amp;quot;. Dikarenakan untuk mendapatkan \r\nstatus kesiapan “Baik” perusahaan atau instansi harus mendapatkan skor akhir \r\ndiatas 583. Oleh karena itu memberikan gambaran terbaru tentang keamanan \r\ninformasi dan menyusun rekomendasi perbaikan. Rekomendasi ini diharapkan \r\ndapat meningkatkan keamanan informasi di Politeknik Transportasi SDP \r\nPalembang, mengurangi kerugian dan insiden yang tidak disengaja, serta \r\nmemungkinkan penggunaan sumber daya TI yang lebih optimal di masa depan.</t>
        </is>
      </c>
      <c r="E40" s="11" t="n"/>
      <c r="F40" s="12" t="n"/>
    </row>
    <row r="41" ht="95" customHeight="1">
      <c r="A41" s="13" t="n">
        <v>40</v>
      </c>
      <c r="B41" s="21" t="inlineStr">
        <is>
          <t>Analisis Sentimen &amp; Ulasan Pengguna</t>
        </is>
      </c>
      <c r="C41" s="14" t="inlineStr">
        <is>
          <t>SISTEM INFORMASI BANK SAMPAH MENGGUNAKAN METODE RAD DAN FRAMEWORK LARAVEL.</t>
        </is>
      </c>
      <c r="D41" s="14" t="inlineStr">
        <is>
          <t>Bank sampah melakukan kegiatan sehari-harinya dengan membeli sampah yang dihasilkan rumah tangga. Bank sampah akan mencatat saldo tabungan nasabah berdasarkan jumlah sampah yang disetorkan oleh nasabah tersebut. Pencatatan yang dilakukan pada bank sampah masih dilakukan secara tradisional sehingga kurangnya efisiensi waktu. Tujuan dari penelitian ini adalah membuat sebuah sistem informasi bank sampah. Metode yang akan digunakan pada penelitian ini adalah metode RAD. Sistem informasi ini akan dibuat menggunakan sebuah framework yaitu  Laravel. Dengan adanya sistem informasi bank sampah diharapkan akan membantu kegiatan pencatatan saldo nasabah, pendaftaran nasabah baru, penghitungan beli sampah, informasi saldo nasabah, dan laporan bank sampah. Sistem informasi bank sampah tersebut akan membantu menghemat waktu yang diperlukan dalam melakukan kegiatan bank sampah tersebut. Hasil dari penelitian ini adalah sebuah sistem informasi bank sampah yang akan membantu terjadinya proses bisnis yang ada di bank sampah sakura talang kelapa palembang.</t>
        </is>
      </c>
      <c r="E41" s="11" t="n"/>
      <c r="F41" s="12" t="n"/>
    </row>
  </sheetData>
  <sheetProtection selectLockedCells="0" selectUnlockedCells="0" sheet="1" objects="0" insertRows="1" insertHyperlinks="1" autoFilter="1" scenarios="0" formatColumns="1" deleteColumns="1" insertColumns="1" pivotTables="1" deleteRows="1" formatCells="1" formatRows="1" sort="1" password="DA9B"/>
  <dataValidations count="1">
    <dataValidation sqref="E2:E41" showDropDown="0" showInputMessage="0" showErrorMessage="0" allowBlank="1" errorTitle="Skor Tidak Valid" error="Silakan pilih skor 1, 2, 3, 4, atau 5 dari dropdown." type="list">
      <formula1>"1, 2, 3, 4, 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2" customWidth="1" min="1" max="1"/>
    <col width="42" customWidth="1" min="2" max="2"/>
    <col width="18" customWidth="1" min="3" max="3"/>
    <col width="16" customWidth="1" min="4" max="4"/>
    <col width="24" customWidth="1" min="5" max="5"/>
  </cols>
  <sheetData>
    <row r="1" ht="28" customHeight="1">
      <c r="A1" s="22" t="inlineStr">
        <is>
          <t>NO TOPIK</t>
        </is>
      </c>
      <c r="B1" s="22" t="inlineStr">
        <is>
          <t>LABEL TOPIK</t>
        </is>
      </c>
      <c r="C1" s="22" t="inlineStr">
        <is>
          <t>RATA-RATA SKOR</t>
        </is>
      </c>
      <c r="D1" s="22" t="inlineStr">
        <is>
          <t>PERSENTASE</t>
        </is>
      </c>
      <c r="E1" s="22" t="inlineStr">
        <is>
          <t>KATEGORI</t>
        </is>
      </c>
    </row>
    <row r="2" ht="24" customHeight="1">
      <c r="A2" s="23" t="n">
        <v>1</v>
      </c>
      <c r="B2" s="24" t="inlineStr">
        <is>
          <t>Topik 1</t>
        </is>
      </c>
      <c r="C2" s="25">
        <f>AVERAGE('Data Validasi'!E2:E6)</f>
        <v/>
      </c>
      <c r="D2" s="26">
        <f>C2/5</f>
        <v/>
      </c>
      <c r="E2" s="27">
        <f>IF(D2&gt;=0.81,"Sangat Relevan",IF(D2&gt;=0.61,"Relevan",IF(D2&gt;=0.41,"Cukup Relevan",IF(D2&gt;=0.21,"Tidak Relevan","Sangat Tidak Relevan"))))</f>
        <v/>
      </c>
    </row>
    <row r="3" ht="24" customHeight="1">
      <c r="A3" s="23" t="n">
        <v>2</v>
      </c>
      <c r="B3" s="24" t="inlineStr">
        <is>
          <t>Topik 2</t>
        </is>
      </c>
      <c r="C3" s="25">
        <f>AVERAGE('Data Validasi'!E7:E11)</f>
        <v/>
      </c>
      <c r="D3" s="26">
        <f>C3/5</f>
        <v/>
      </c>
      <c r="E3" s="27">
        <f>IF(D3&gt;=0.81,"Sangat Relevan",IF(D3&gt;=0.61,"Relevan",IF(D3&gt;=0.41,"Cukup Relevan",IF(D3&gt;=0.21,"Tidak Relevan","Sangat Tidak Relevan"))))</f>
        <v/>
      </c>
    </row>
    <row r="4" ht="24" customHeight="1">
      <c r="A4" s="23" t="n">
        <v>3</v>
      </c>
      <c r="B4" s="24" t="inlineStr">
        <is>
          <t>Topik 3</t>
        </is>
      </c>
      <c r="C4" s="25">
        <f>AVERAGE('Data Validasi'!E12:E16)</f>
        <v/>
      </c>
      <c r="D4" s="26">
        <f>C4/5</f>
        <v/>
      </c>
      <c r="E4" s="27">
        <f>IF(D4&gt;=0.81,"Sangat Relevan",IF(D4&gt;=0.61,"Relevan",IF(D4&gt;=0.41,"Cukup Relevan",IF(D4&gt;=0.21,"Tidak Relevan","Sangat Tidak Relevan"))))</f>
        <v/>
      </c>
    </row>
    <row r="5" ht="24" customHeight="1">
      <c r="A5" s="23" t="n">
        <v>4</v>
      </c>
      <c r="B5" s="24" t="inlineStr">
        <is>
          <t>Topik 4</t>
        </is>
      </c>
      <c r="C5" s="25">
        <f>AVERAGE('Data Validasi'!E17:E21)</f>
        <v/>
      </c>
      <c r="D5" s="26">
        <f>C5/5</f>
        <v/>
      </c>
      <c r="E5" s="27">
        <f>IF(D5&gt;=0.81,"Sangat Relevan",IF(D5&gt;=0.61,"Relevan",IF(D5&gt;=0.41,"Cukup Relevan",IF(D5&gt;=0.21,"Tidak Relevan","Sangat Tidak Relevan"))))</f>
        <v/>
      </c>
    </row>
    <row r="6" ht="24" customHeight="1">
      <c r="A6" s="23" t="n">
        <v>5</v>
      </c>
      <c r="B6" s="24" t="inlineStr">
        <is>
          <t>Topik 5</t>
        </is>
      </c>
      <c r="C6" s="25">
        <f>AVERAGE('Data Validasi'!E22:E26)</f>
        <v/>
      </c>
      <c r="D6" s="26">
        <f>C6/5</f>
        <v/>
      </c>
      <c r="E6" s="27">
        <f>IF(D6&gt;=0.81,"Sangat Relevan",IF(D6&gt;=0.61,"Relevan",IF(D6&gt;=0.41,"Cukup Relevan",IF(D6&gt;=0.21,"Tidak Relevan","Sangat Tidak Relevan"))))</f>
        <v/>
      </c>
    </row>
    <row r="7" ht="24" customHeight="1">
      <c r="A7" s="23" t="n">
        <v>6</v>
      </c>
      <c r="B7" s="24" t="inlineStr">
        <is>
          <t>Topik 6</t>
        </is>
      </c>
      <c r="C7" s="25">
        <f>AVERAGE('Data Validasi'!E27:E31)</f>
        <v/>
      </c>
      <c r="D7" s="26">
        <f>C7/5</f>
        <v/>
      </c>
      <c r="E7" s="27">
        <f>IF(D7&gt;=0.81,"Sangat Relevan",IF(D7&gt;=0.61,"Relevan",IF(D7&gt;=0.41,"Cukup Relevan",IF(D7&gt;=0.21,"Tidak Relevan","Sangat Tidak Relevan"))))</f>
        <v/>
      </c>
    </row>
    <row r="8" ht="24" customHeight="1">
      <c r="A8" s="23" t="n">
        <v>7</v>
      </c>
      <c r="B8" s="24" t="inlineStr">
        <is>
          <t>Topik 7</t>
        </is>
      </c>
      <c r="C8" s="25">
        <f>AVERAGE('Data Validasi'!E32:E36)</f>
        <v/>
      </c>
      <c r="D8" s="26">
        <f>C8/5</f>
        <v/>
      </c>
      <c r="E8" s="27">
        <f>IF(D8&gt;=0.81,"Sangat Relevan",IF(D8&gt;=0.61,"Relevan",IF(D8&gt;=0.41,"Cukup Relevan",IF(D8&gt;=0.21,"Tidak Relevan","Sangat Tidak Relevan"))))</f>
        <v/>
      </c>
    </row>
    <row r="9" ht="24" customHeight="1">
      <c r="A9" s="23" t="n">
        <v>8</v>
      </c>
      <c r="B9" s="24" t="inlineStr">
        <is>
          <t>Topik 8</t>
        </is>
      </c>
      <c r="C9" s="25">
        <f>AVERAGE('Data Validasi'!E37:E41)</f>
        <v/>
      </c>
      <c r="D9" s="26">
        <f>C9/5</f>
        <v/>
      </c>
      <c r="E9" s="27">
        <f>IF(D9&gt;=0.81,"Sangat Relevan",IF(D9&gt;=0.61,"Relevan",IF(D9&gt;=0.41,"Cukup Relevan",IF(D9&gt;=0.21,"Tidak Relevan","Sangat Tidak Relevan"))))</f>
        <v/>
      </c>
    </row>
    <row r="10" ht="26" customHeight="1">
      <c r="A10" s="28" t="inlineStr">
        <is>
          <t>RATA-RATA KESELURUHAN</t>
        </is>
      </c>
      <c r="B10" s="29" t="n"/>
      <c r="C10" s="30">
        <f>AVERAGE(C2:C9)</f>
        <v/>
      </c>
      <c r="D10" s="31">
        <f>C10/5</f>
        <v/>
      </c>
      <c r="E10" s="28">
        <f>IF(D10&gt;=0.81,"Sangat Relevan",IF(D10&gt;=0.61,"Relevan",IF(D10&gt;=0.41,"Cukup Relevan",IF(D10&gt;=0.21,"Tidak Relevan","Sangat Tidak Relevan"))))</f>
        <v/>
      </c>
    </row>
  </sheetData>
  <sheetProtection selectLockedCells="0" selectUnlockedCells="0" sheet="1" objects="0" insertRows="1" insertHyperlinks="1" autoFilter="1" scenarios="0" formatColumns="1" deleteColumns="1" insertColumns="1" pivotTables="1" deleteRows="1" formatCells="1" formatRows="1" sort="1" password="DA9B"/>
  <mergeCells count="1">
    <mergeCell ref="A10:B10"/>
  </mergeCells>
  <conditionalFormatting sqref="E2:E10">
    <cfRule type="cellIs" priority="1" operator="equal" dxfId="0">
      <formula>"Sangat Relevan"</formula>
    </cfRule>
    <cfRule type="cellIs" priority="2" operator="equal" dxfId="1">
      <formula>"Relevan"</formula>
    </cfRule>
    <cfRule type="cellIs" priority="3" operator="equal" dxfId="2">
      <formula>"Cukup Relevan"</formula>
    </cfRule>
    <cfRule type="cellIs" priority="4" operator="equal" dxfId="3">
      <formula>"Tidak Relevan"</formula>
    </cfRule>
    <cfRule type="cellIs" priority="5" operator="equal" dxfId="4">
      <formula>"Sangat Tidak Relevan"</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2026-10-01T08:37:44Z</dcterms:created>
  <dcterms:modified xsi:type="dcterms:W3CDTF">2026-10-01T08:37:44Z</dcterms:modified>
</cp:coreProperties>
</file>